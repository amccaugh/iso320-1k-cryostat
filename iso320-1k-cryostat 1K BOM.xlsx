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Shared drives\Adam NIST Work\NIST Work\260821 1k-cryostat-iso320\iso320-1k-cryostat\"/>
    </mc:Choice>
  </mc:AlternateContent>
  <xr:revisionPtr revIDLastSave="0" documentId="13_ncr:1_{3CD01BF5-D53B-4B62-B2F3-F8769492344C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iso320-1k-cryostat" sheetId="3" r:id="rId1"/>
    <sheet name="Old - 1K Krister BOM" sheetId="1" r:id="rId2"/>
    <sheet name="Old - Second ORDER BOM" sheetId="2" r:id="rId3"/>
  </sheets>
  <definedNames>
    <definedName name="Z_514A3C1B_6CCE_4092_BFD9_4C5D5EA6EC62_.wvu.FilterData" localSheetId="1" hidden="1">'Old - 1K Krister BOM'!$O$1:$O$117</definedName>
    <definedName name="Z_514A3C1B_6CCE_4092_BFD9_4C5D5EA6EC62_.wvu.FilterData" localSheetId="2" hidden="1">'Old - Second ORDER BOM'!$O$1:$O$110</definedName>
    <definedName name="Z_D7E9DF7F_435C_42AE_99B1_3E185F308F5A_.wvu.FilterData" localSheetId="1" hidden="1">'Old - 1K Krister BOM'!$H$1:$H$117</definedName>
    <definedName name="Z_D7E9DF7F_435C_42AE_99B1_3E185F308F5A_.wvu.FilterData" localSheetId="2" hidden="1">'Old - Second ORDER BOM'!$H$1:$H$110</definedName>
  </definedNames>
  <calcPr calcId="191029"/>
  <customWorkbookViews>
    <customWorkbookView name="Ordered Filter" guid="{514A3C1B-6CCE-4092-BFD9-4C5D5EA6EC62}" maximized="1" windowWidth="0" windowHeight="0" activeSheetId="0"/>
    <customWorkbookView name="Vendor FIlter" guid="{D7E9DF7F-435C-42AE-99B1-3E185F308F5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2" l="1"/>
  <c r="M24" i="2" s="1"/>
  <c r="F23" i="2"/>
  <c r="M23" i="2" s="1"/>
  <c r="F22" i="2"/>
  <c r="M22" i="2" s="1"/>
  <c r="F21" i="2"/>
  <c r="M21" i="2" s="1"/>
  <c r="F20" i="2"/>
  <c r="M20" i="2" s="1"/>
  <c r="F19" i="2"/>
  <c r="M19" i="2" s="1"/>
  <c r="F18" i="2"/>
  <c r="M18" i="2" s="1"/>
  <c r="F17" i="2"/>
  <c r="M17" i="2" s="1"/>
  <c r="F16" i="2"/>
  <c r="M16" i="2" s="1"/>
  <c r="F15" i="2"/>
  <c r="M15" i="2" s="1"/>
  <c r="F14" i="2"/>
  <c r="M14" i="2" s="1"/>
  <c r="F13" i="2"/>
  <c r="M13" i="2" s="1"/>
  <c r="F12" i="2"/>
  <c r="M12" i="2" s="1"/>
  <c r="F11" i="2"/>
  <c r="M11" i="2" s="1"/>
  <c r="F10" i="2"/>
  <c r="M10" i="2" s="1"/>
  <c r="F9" i="2"/>
  <c r="M9" i="2" s="1"/>
  <c r="F8" i="2"/>
  <c r="M8" i="2" s="1"/>
  <c r="F7" i="2"/>
  <c r="M7" i="2" s="1"/>
  <c r="F6" i="2"/>
  <c r="M6" i="2" s="1"/>
  <c r="F5" i="2"/>
  <c r="M5" i="2" s="1"/>
  <c r="F4" i="2"/>
  <c r="M4" i="2" s="1"/>
  <c r="F3" i="2"/>
  <c r="M3" i="2" s="1"/>
  <c r="F2" i="2"/>
  <c r="M2" i="2" s="1"/>
  <c r="F31" i="1"/>
  <c r="M31" i="1" s="1"/>
  <c r="F30" i="1"/>
  <c r="M30" i="1" s="1"/>
  <c r="F29" i="1"/>
  <c r="M29" i="1" s="1"/>
  <c r="F28" i="1"/>
  <c r="M28" i="1" s="1"/>
  <c r="F27" i="1"/>
  <c r="M27" i="1" s="1"/>
  <c r="F26" i="1"/>
  <c r="M26" i="1" s="1"/>
  <c r="F25" i="1"/>
  <c r="M25" i="1" s="1"/>
  <c r="F24" i="1"/>
  <c r="M24" i="1" s="1"/>
  <c r="F23" i="1"/>
  <c r="M23" i="1" s="1"/>
  <c r="F22" i="1"/>
  <c r="M22" i="1" s="1"/>
  <c r="F21" i="1"/>
  <c r="M21" i="1" s="1"/>
  <c r="F20" i="1"/>
  <c r="M20" i="1" s="1"/>
  <c r="F19" i="1"/>
  <c r="M19" i="1" s="1"/>
  <c r="F18" i="1"/>
  <c r="M18" i="1" s="1"/>
  <c r="F17" i="1"/>
  <c r="M17" i="1" s="1"/>
  <c r="F16" i="1"/>
  <c r="M16" i="1" s="1"/>
  <c r="F15" i="1"/>
  <c r="M15" i="1" s="1"/>
  <c r="F14" i="1"/>
  <c r="M14" i="1" s="1"/>
  <c r="F13" i="1"/>
  <c r="M13" i="1" s="1"/>
  <c r="F12" i="1"/>
  <c r="M12" i="1" s="1"/>
  <c r="F11" i="1"/>
  <c r="M11" i="1" s="1"/>
  <c r="F10" i="1"/>
  <c r="M10" i="1" s="1"/>
  <c r="F9" i="1"/>
  <c r="M9" i="1" s="1"/>
  <c r="V9" i="1" s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F8" i="1"/>
  <c r="M8" i="1" s="1"/>
  <c r="F7" i="1"/>
  <c r="M7" i="1" s="1"/>
  <c r="F6" i="1"/>
  <c r="M6" i="1" s="1"/>
  <c r="F5" i="1"/>
  <c r="M5" i="1" s="1"/>
  <c r="F4" i="1"/>
  <c r="M4" i="1" s="1"/>
  <c r="F3" i="1"/>
  <c r="M3" i="1" s="1"/>
  <c r="F2" i="1"/>
  <c r="M2" i="1" s="1"/>
  <c r="M36" i="2" l="1"/>
  <c r="N2" i="2"/>
  <c r="N3" i="2" s="1"/>
  <c r="N4" i="2" s="1"/>
  <c r="N5" i="2" s="1"/>
  <c r="N6" i="2" s="1"/>
  <c r="N7" i="2" s="1"/>
  <c r="N8" i="2" s="1"/>
  <c r="N9" i="2" s="1"/>
  <c r="N10" i="2" s="1"/>
  <c r="N11" i="2" s="1"/>
  <c r="N12" i="2" s="1"/>
  <c r="N13" i="2" s="1"/>
  <c r="N14" i="2" s="1"/>
  <c r="N15" i="2" s="1"/>
  <c r="N16" i="2" s="1"/>
  <c r="N17" i="2" s="1"/>
  <c r="N18" i="2" s="1"/>
  <c r="N19" i="2" s="1"/>
  <c r="N20" i="2" s="1"/>
  <c r="N21" i="2" s="1"/>
  <c r="N22" i="2" s="1"/>
  <c r="N23" i="2" s="1"/>
  <c r="N24" i="2" s="1"/>
  <c r="V2" i="2"/>
  <c r="V3" i="2" s="1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M43" i="1"/>
  <c r="V2" i="1"/>
  <c r="V3" i="1" s="1"/>
  <c r="V4" i="1" s="1"/>
  <c r="V5" i="1" s="1"/>
  <c r="V6" i="1" s="1"/>
  <c r="V7" i="1" s="1"/>
  <c r="V8" i="1" s="1"/>
  <c r="N2" i="1"/>
  <c r="N3" i="1" s="1"/>
  <c r="N4" i="1" s="1"/>
  <c r="N5" i="1" s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</calcChain>
</file>

<file path=xl/sharedStrings.xml><?xml version="1.0" encoding="utf-8"?>
<sst xmlns="http://schemas.openxmlformats.org/spreadsheetml/2006/main" count="606" uniqueCount="327">
  <si>
    <t>Where is it used?</t>
  </si>
  <si>
    <t>Price</t>
  </si>
  <si>
    <t># per pkg</t>
  </si>
  <si>
    <t># needed</t>
  </si>
  <si>
    <t># pkg to buy</t>
  </si>
  <si>
    <t>Part #</t>
  </si>
  <si>
    <t>Vendor</t>
  </si>
  <si>
    <t>Link</t>
  </si>
  <si>
    <t>Alternate Vendors</t>
  </si>
  <si>
    <t>Alternate Part #</t>
  </si>
  <si>
    <t>Alternate links</t>
  </si>
  <si>
    <t>Sub-Total</t>
  </si>
  <si>
    <t>Adding Sub-total</t>
  </si>
  <si>
    <t>Ordered?</t>
  </si>
  <si>
    <t>Who ordered</t>
  </si>
  <si>
    <t>Date</t>
  </si>
  <si>
    <t>PO Number</t>
  </si>
  <si>
    <t>Expected</t>
  </si>
  <si>
    <t>Where sent</t>
  </si>
  <si>
    <t>Where stored</t>
  </si>
  <si>
    <t>Individual subtotals</t>
  </si>
  <si>
    <t>Notes</t>
  </si>
  <si>
    <t>Ideal Vacuum Cube 9x9x9 in.</t>
  </si>
  <si>
    <t>Cube Frame</t>
  </si>
  <si>
    <t>P109589</t>
  </si>
  <si>
    <t>Ideal Vacuum Products</t>
  </si>
  <si>
    <t>https://www.idealvac.com/en-us/Ideal-Vacuum-Cube-9x9x9-in-Vacuum-Chamber-Frame-6061-T6-Aluminum-Alloy/pp/P109589</t>
  </si>
  <si>
    <t>Ideal Vacuum Cube Hardware Kit, Designed For 9x9x9 Cubes, Includes Viton O-rings And Plate Bolts</t>
  </si>
  <si>
    <t>Cube Walls to Frame</t>
  </si>
  <si>
    <t>P109824</t>
  </si>
  <si>
    <t>https://www.idealvac.com/Ideal-Vacuum-Cube-Hardware-Kit/pp/P109824</t>
  </si>
  <si>
    <t>Ideal Vacuum O-Ring Removal Tool, Non Scratch Polycarbonate, Keeps O-Ring Seals and Grooves from Damage</t>
  </si>
  <si>
    <t>Install/removing o-rings</t>
  </si>
  <si>
    <t>P1010547</t>
  </si>
  <si>
    <t>https://www.idealvac.com/Ideal-Vacuum-Cube-Plate-Maintenance-and-Service-Tool-Kit/pp/P1010554</t>
  </si>
  <si>
    <t>Ideal Vacuum Cube, 9x9x9 in., Multicube Inner Connection Coupling Kit, Includes Hardware and Seals.</t>
  </si>
  <si>
    <t>Between Two Cube Frames</t>
  </si>
  <si>
    <t>P1012249</t>
  </si>
  <si>
    <t>https://www.idealvac.com/Ideal-Vacuum-Cube/pp/P1012249</t>
  </si>
  <si>
    <t>CENTERING RING,QF160,SS INNER AL OUTER,FKM O-RING</t>
  </si>
  <si>
    <t>iso 160 centering ring</t>
  </si>
  <si>
    <t>P101769</t>
  </si>
  <si>
    <t>https://www.idealvac.com/ISO-160-Centering-Ring-Aluminum-with-Viton-O-Ring-NW-160-Vacuum-Flange-Size-Typically-Used-with-6-Inch-OD-(1524-mm)-Tubing/pp/P101769</t>
  </si>
  <si>
    <t>9x9 Plate with ISO-160 port</t>
  </si>
  <si>
    <t>Top of cube (RDK101 Mount) (1/10)</t>
  </si>
  <si>
    <t>P1012389</t>
  </si>
  <si>
    <t>https://www.idealvac.com/en-us/Ideal-Vacuum-Cube/pp/P1012389</t>
  </si>
  <si>
    <t>9x9 Blank Plate</t>
  </si>
  <si>
    <t>Bot Cube: Bot (2/10)</t>
  </si>
  <si>
    <t>P109590</t>
  </si>
  <si>
    <t>https://www.idealvac.com/Ideal-Vacuum-Cube-9x9-in-Vacuum-Chamber-Blank-Plate/pp/P109590</t>
  </si>
  <si>
    <t>Still require 2 x of yellow highlighted items. Only order enoguh for 1 cryostat.</t>
  </si>
  <si>
    <t>Ideal Vacuum Cube, 9x9 Vacuum Chamber, Plate With 4 KF-40 (NW-40) Pumping of Feedthrough Ports</t>
  </si>
  <si>
    <t>Top Cube Wall pump out (3/10)</t>
  </si>
  <si>
    <t>P1010939</t>
  </si>
  <si>
    <t>https://www.idealvac.com/Ideal-Vacuum-Cube/pp/P1010939</t>
  </si>
  <si>
    <t>Ideal Vacuum Cube, 9x9 Vacuum Chamber Plate With One Each KF-50 (NW-50) Pumping or Feedthrough Port</t>
  </si>
  <si>
    <t>1 x on top Cube, 1 x on bottom cube (5/10)</t>
  </si>
  <si>
    <t>P109595</t>
  </si>
  <si>
    <t>https://www.idealvac.com/Ideal-Vacuum-Cube/pp/P109595</t>
  </si>
  <si>
    <t>Ideal Vacuum Cube 9x9 in. Vacuum Chamber Blank Plate, Without Flanged Ports, 6061-T6 Aluminum Alloy</t>
  </si>
  <si>
    <t>2x on top, 3x on bottom, 1 extra (11/10)</t>
  </si>
  <si>
    <t>Ideal Vacuum Cube Quick Knob Assembly, Includes Quick Knob, Fastener, Fastening Bolt (1ea)</t>
  </si>
  <si>
    <t>3 x on bottom hinge wall</t>
  </si>
  <si>
    <t>P107936</t>
  </si>
  <si>
    <t>https://www.idealvac.com/Ideal-Vacuum-Cube-Quick-Knob-Assembly/pp/P107936</t>
  </si>
  <si>
    <t>Custom iso160 full nipple 5.5" length</t>
  </si>
  <si>
    <t>Ontop of cryostat iso160. Used in place of flexible bellow</t>
  </si>
  <si>
    <t>ISO160-600-NS</t>
  </si>
  <si>
    <t>LDS Vacuum</t>
  </si>
  <si>
    <t>https://www.ldsvacuumshopper.com/isshornip3.html</t>
  </si>
  <si>
    <t>ISO-160 Claw Clamp Kit (4x) 5-16/18</t>
  </si>
  <si>
    <t>2x8 For RDK101. REQUIRE LESKER CLAMPS</t>
  </si>
  <si>
    <t>QF-SSC-ALJ</t>
  </si>
  <si>
    <t>Lesker</t>
  </si>
  <si>
    <t>https://www.lesker.com/newweb/flanges/hardware_iso_clamps.cfm?pgid=singleal</t>
  </si>
  <si>
    <t>Chemical-Resistant Viton® Fluoroelastomer O-Ring 1/8 Fractional Width, Dash Number 240</t>
  </si>
  <si>
    <t>RDK101 O-ring, 1 for use, 1 extra</t>
  </si>
  <si>
    <t>9464K69</t>
  </si>
  <si>
    <t>McMaster-Carr</t>
  </si>
  <si>
    <t>https://www.mcmaster.com/9464K69/</t>
  </si>
  <si>
    <t>Copper Foil 1 Mill</t>
  </si>
  <si>
    <t>1x for 40K, 1x for 4K</t>
  </si>
  <si>
    <t>9709K11</t>
  </si>
  <si>
    <t>https://www.mcmaster.com/9709K11/</t>
  </si>
  <si>
    <t>Belleville Disc Spring for 3/16" Shaft Diameter, 0.190" ID, 0.375" OD, 0.0180" Thick</t>
  </si>
  <si>
    <t>Tension 4K &amp; 40K plates 5x per screw. ,7 screws</t>
  </si>
  <si>
    <t>9712K15</t>
  </si>
  <si>
    <t>https://www.mcmaster.com/9712K15/</t>
  </si>
  <si>
    <t>18-8 Stainless Steel Socket Head Screw 1/4"-20 Thread Size, 3/8" Long</t>
  </si>
  <si>
    <t>Idela vac adapter plate to bottom idealvac wall</t>
  </si>
  <si>
    <t>92196A535</t>
  </si>
  <si>
    <t>https://www.mcmaster.com/92196A535/</t>
  </si>
  <si>
    <t>18-8 Stianless Steel M5 20 mm 0.8mm Coarse Socket Head Screws (Maybe get 22 mm? 1mm left at bottom of screw)</t>
  </si>
  <si>
    <t>RDK to Top Adapter plate</t>
  </si>
  <si>
    <t>91292A128</t>
  </si>
  <si>
    <t>https://www.mcmaster.com/91292A128</t>
  </si>
  <si>
    <t>18-8 Stainless Steel Split Lock Washer
for M5 Screw Size, 5.3 mm ID, 10 mm OD</t>
  </si>
  <si>
    <t xml:space="preserve">92148A170
</t>
  </si>
  <si>
    <t>https://www.mcmaster.com/92148A170/</t>
  </si>
  <si>
    <t>18-8 Stainless Steel Socket Head Screw 4-40 Thread Size, 3/16" Long</t>
  </si>
  <si>
    <t xml:space="preserve">40K Walls (48 per side *4) and Top plate block Plates (32 for both top plates). 4K walls (21 per side *4) + 2 plates (8 * 2). 40K strap requires 16 screws. Total is 340 screws </t>
  </si>
  <si>
    <t>92196A105</t>
  </si>
  <si>
    <t>https://www.mcmaster.com/92196A105/</t>
  </si>
  <si>
    <t>18-8 Stainless Steel Socket Head Screw 4-40 Thread Size, 5/16" Long</t>
  </si>
  <si>
    <t>Top plates (4) &amp; 40K  (4) into bar stock</t>
  </si>
  <si>
    <t>92196A107</t>
  </si>
  <si>
    <t>https://www.mcmaster.com/92196A107/</t>
  </si>
  <si>
    <t>Belleville Disc Spring for 1/8" Shaft Diameter, 0.125" ID, 0.25" OD, 0.0130" Thick</t>
  </si>
  <si>
    <t xml:space="preserve">Top 40K plates (4) &amp; Bottom 40K  (4) into bar stock = 8 *5 Top 4K plates (4) and Bottom 4K plates (4) = 8 * 5. Total is 40  (40K) + 40 (4K) = 80 </t>
  </si>
  <si>
    <t>9712K54</t>
  </si>
  <si>
    <t>https://www.mcmaster.com/9712K54/</t>
  </si>
  <si>
    <t>Aluminum Socket Head Screw M4 x 0.7 mm Thread, 16 mm Long</t>
  </si>
  <si>
    <t>Cold Heads. Long enough to accomidate sandwhich cold straps. Total is 8 + 6 = 14</t>
  </si>
  <si>
    <t>98511A743</t>
  </si>
  <si>
    <t>https://www.mcmaster.com/98511A743/</t>
  </si>
  <si>
    <t>Cold strap plates to 40K and 4K cold head. 4 (40K) + 8 (4K) = total of 12</t>
  </si>
  <si>
    <t>92196A191</t>
  </si>
  <si>
    <t>https://www.mcmaster.com/92196A191/</t>
  </si>
  <si>
    <t>18-8 Stainless Steel Socket Head Screw 6-32 Thread Size, 5/8" Long</t>
  </si>
  <si>
    <t>Require 12 to fasten 1K stage to 4K stage. Also require12 for 4K heat strap</t>
  </si>
  <si>
    <t>92196A150</t>
  </si>
  <si>
    <t>https://www.mcmaster.com/92196A150/</t>
  </si>
  <si>
    <t>303 Stainless Steel Knurled Knob with 10-24 Threaded Hole, 3/8" Deep, 3/4" Diameter Head</t>
  </si>
  <si>
    <t>40K Walls (Knobs are $6.61 for 10 or more)</t>
  </si>
  <si>
    <t>60205K64</t>
  </si>
  <si>
    <t>https://www.mcmaster.com/60205K64/</t>
  </si>
  <si>
    <t>18-8 Stainless Steel Socket Head Screw 10-24 Thread Size, 3/8" Long</t>
  </si>
  <si>
    <t>40K wall knobs</t>
  </si>
  <si>
    <t>92196A240</t>
  </si>
  <si>
    <t>https://www.mcmaster.com/92196A240/</t>
  </si>
  <si>
    <t xml:space="preserve"> Stainless Steel Raised Knurled-Head Thumb Screw 4-40 Thread Size, 1/4" Long, 3/8" Diameter Head</t>
  </si>
  <si>
    <t>4K walls</t>
  </si>
  <si>
    <t>Belleville Spring Lock Washer 17-7 PH Stainless Steel, for Number 6 Screw Size, 0.143" ID, 0.341" OD</t>
  </si>
  <si>
    <t>91235A102</t>
  </si>
  <si>
    <t>https://www.mcmaster.com/91235a102/</t>
  </si>
  <si>
    <t>Stainless Steel Raised Knurled-Head Thumb Screw 4-40 Thread Size, 1/4" Long, 3/8" Diameter Head</t>
  </si>
  <si>
    <t>4K knobs</t>
  </si>
  <si>
    <t>91830A101</t>
  </si>
  <si>
    <t>https://www.mcmaster.com/91830A101/</t>
  </si>
  <si>
    <t>Total:</t>
  </si>
  <si>
    <t>Items for One Cryostat</t>
  </si>
  <si>
    <t>SKW</t>
  </si>
  <si>
    <t>SW240364</t>
  </si>
  <si>
    <t>https://www.ldsnipplefabricator.com/</t>
  </si>
  <si>
    <t>SW240365</t>
  </si>
  <si>
    <t>5 days Pending mfg</t>
  </si>
  <si>
    <t>SW240366</t>
  </si>
  <si>
    <t>SW240367</t>
  </si>
  <si>
    <t>Item Description</t>
  </si>
  <si>
    <t>Web Page</t>
  </si>
  <si>
    <t>Sub-Total per items used</t>
  </si>
  <si>
    <t>Lead Time</t>
  </si>
  <si>
    <t>ISO320 single claw clamp</t>
  </si>
  <si>
    <t>collar</t>
  </si>
  <si>
    <t>ISO320-500-C</t>
  </si>
  <si>
    <t>https://www.ldsvacuumshopper.com/lf400and500s.html</t>
  </si>
  <si>
    <t>Sue</t>
  </si>
  <si>
    <t>ISO320 blank + oring + clamp kit</t>
  </si>
  <si>
    <t>ISO320-AB-VE</t>
  </si>
  <si>
    <t>https://www.ldsvacuumshopper.com/isalbl9.html</t>
  </si>
  <si>
    <t>ISO320 centering ring + oring</t>
  </si>
  <si>
    <t>ISO320-1200-AR-V</t>
  </si>
  <si>
    <t>https://www.ldsvacuumshopper.com/lfalcenrinwi.html</t>
  </si>
  <si>
    <t>NW50 blanks</t>
  </si>
  <si>
    <t>NW50-200-SB</t>
  </si>
  <si>
    <t>https://www.ldsvacuumshopper.com/qfstainblan2.html</t>
  </si>
  <si>
    <t>NW50 Bulkhead clamp 10 pack</t>
  </si>
  <si>
    <t>NW50-BC-PK10</t>
  </si>
  <si>
    <t>https://www.ldsvacuumshopper.com/nwbucl3.html</t>
  </si>
  <si>
    <t>NW40 blanks</t>
  </si>
  <si>
    <t>NW40-150-SB</t>
  </si>
  <si>
    <t>https://www.ldsvacuumshopper.com/qfstainblan1.html</t>
  </si>
  <si>
    <t>NW40 bulkhead clamp 10 pack</t>
  </si>
  <si>
    <t>NW40-BC-PK10</t>
  </si>
  <si>
    <t>https://www.ldsvacuumshopper.com/nwbucl2.html</t>
  </si>
  <si>
    <t>NW25 blanks</t>
  </si>
  <si>
    <t>NW25-100-SB</t>
  </si>
  <si>
    <t>https://www.ldsvacuumshopper.com/qfstainblan.html</t>
  </si>
  <si>
    <t>NW25 bulkhead clamps</t>
  </si>
  <si>
    <t>NW25-100-BC</t>
  </si>
  <si>
    <t>https://www.ldsvacuumshopper.com/qfbulclam1.html</t>
  </si>
  <si>
    <t>DR to 4K</t>
  </si>
  <si>
    <t>PT405 to 40K Plate</t>
  </si>
  <si>
    <t>ISO-320 Full Nipple</t>
  </si>
  <si>
    <t>Collar</t>
  </si>
  <si>
    <t>3D Hubs</t>
  </si>
  <si>
    <t>https://www.hubs.com/</t>
  </si>
  <si>
    <t>ISO320 Full Nipple</t>
  </si>
  <si>
    <t>2N-ISO-320-OF</t>
  </si>
  <si>
    <t>NorCal</t>
  </si>
  <si>
    <t>https://www.n-c.com/Products/Flanges-Fittings-and-Adapters/ISO-Components-and-Hardware/Nipples/Full-Nipple.aspx</t>
  </si>
  <si>
    <t>3-4 Weeks</t>
  </si>
  <si>
    <t>Nor Cal</t>
  </si>
  <si>
    <t>4K Plate Fabrication</t>
  </si>
  <si>
    <t>4K Plate</t>
  </si>
  <si>
    <t>54HL2Z5G</t>
  </si>
  <si>
    <t>High Vac comp</t>
  </si>
  <si>
    <t>8-10 weeks</t>
  </si>
  <si>
    <t>40K Plate Fabrication</t>
  </si>
  <si>
    <t>40K Plate</t>
  </si>
  <si>
    <t>LDS</t>
  </si>
  <si>
    <t>$2049.45 for 3so probably $2300+</t>
  </si>
  <si>
    <t>4K tube sheet metal</t>
  </si>
  <si>
    <t>4K shield</t>
  </si>
  <si>
    <t>ancorp</t>
  </si>
  <si>
    <t>3 Weeks</t>
  </si>
  <si>
    <t>$1946 (?)</t>
  </si>
  <si>
    <t>40K tube sheet metal</t>
  </si>
  <si>
    <t>40K shield</t>
  </si>
  <si>
    <t>hisoregon</t>
  </si>
  <si>
    <t>3 weeks</t>
  </si>
  <si>
    <t>Base Price $1332 for three so probably $1500 single</t>
  </si>
  <si>
    <t>M4 - 22 mm Screws</t>
  </si>
  <si>
    <t>PT405 to 4K Plate</t>
  </si>
  <si>
    <t>91292A806</t>
  </si>
  <si>
    <t>https://www.mcmaster.com/91292A806/</t>
  </si>
  <si>
    <t>Stainless Steel Extra-Wide Truss Head Phillips Screws 2-56 (1/4 len)</t>
  </si>
  <si>
    <t>91770A076</t>
  </si>
  <si>
    <t>https://www.mcmaster.com/91770A076/</t>
  </si>
  <si>
    <t>4K lid</t>
  </si>
  <si>
    <t>40K lid</t>
  </si>
  <si>
    <t>BeCu CryoLoom Construction 3ft</t>
  </si>
  <si>
    <t>Wiring</t>
  </si>
  <si>
    <t>Astroendyne</t>
  </si>
  <si>
    <t>BeCu CryoLoom Construction 2ft</t>
  </si>
  <si>
    <t>4K PCB Adapter</t>
  </si>
  <si>
    <t>4K - 1x15, 2x21 to 25s</t>
  </si>
  <si>
    <t>JLCPCB</t>
  </si>
  <si>
    <t>https://cart.jlcpcb.com/cart</t>
  </si>
  <si>
    <t>Male 15-Pin Micro D Through Hole</t>
  </si>
  <si>
    <t>Need Single male for 4K PCB adapter (x5 for Extras)</t>
  </si>
  <si>
    <t xml:space="preserve">380-015-113L001
</t>
  </si>
  <si>
    <t>Digikey</t>
  </si>
  <si>
    <t>https://www.digikey.com/en/products/detail/norcomp-inc/380-015-113L001/2798596?utm_adgroup=D-Sub%20Connectors&amp;utm_source=google&amp;utm_medium=cpc&amp;utm_campaign=Shopping_Product_Connectors%2C%20Interconnects&amp;utm_term=&amp;utm_content=D-Sub%20Connectors&amp;gclid=Cj0KCQjw0emHBhC1ARIsAL1QGNceDB7lQxsDiy-hM2oMBTYHjkQrC1SEyt0V8oufECSrwKGBCoFTwKEaArcBEALw_wcB</t>
  </si>
  <si>
    <t>Male 21-Pin Micro D Through Hole</t>
  </si>
  <si>
    <t>Need Two males for 4K PCB adapter (x2 for Extras)</t>
  </si>
  <si>
    <t xml:space="preserve">A98022-021
MMDP-021-DD-N00
</t>
  </si>
  <si>
    <t>Purchase from Talor Marketing.inc Quote</t>
  </si>
  <si>
    <t>https://www.omnetics.com/products/micro-d/standard-micro-d-connectors1#StraightThru-HoleMountDD</t>
  </si>
  <si>
    <t>Male 25-Pin Micro D Through Hole Pin</t>
  </si>
  <si>
    <t>Need 3 for 4K PCB adapter and 3 for 24 pin PCB feed through (x2 for Extras)</t>
  </si>
  <si>
    <t>380-025-113L001</t>
  </si>
  <si>
    <t xml:space="preserve">https://www.digikey.com/en/products/detail/norcomp-inc/380-025-113L001/2798597 </t>
  </si>
  <si>
    <t>Female 25-Pin Micro D Solder Cup</t>
  </si>
  <si>
    <t>Need 6 for cryoloom(have 5 extra)</t>
  </si>
  <si>
    <t>DCDM-25SSBN-LF</t>
  </si>
  <si>
    <t>newark</t>
  </si>
  <si>
    <t>https://www.newark.com/cinch-connectivity-solutions/dcdm-25ssbn-lf/micro-d-connector-25-position/dp/31M0085?st=d%20sub%20connector</t>
  </si>
  <si>
    <t>For testing connector mating compatability</t>
  </si>
  <si>
    <t xml:space="preserve">580-M25-203L001
</t>
  </si>
  <si>
    <t>https://www.digikey.com/en/products/detail/norcomp-inc/580-M25-203L001/13557495</t>
  </si>
  <si>
    <t>25Pin to HDMI Vacuum FeefThru PCB</t>
  </si>
  <si>
    <t>JLBPCB</t>
  </si>
  <si>
    <t>Female to Male HDMI Cable 6ft</t>
  </si>
  <si>
    <t>HDMI Vacuum FeedThru</t>
  </si>
  <si>
    <t>Monoprice</t>
  </si>
  <si>
    <t>https://www.monoprice.com/product?p_id=3341</t>
  </si>
  <si>
    <t>FeedThrough Clamps</t>
  </si>
  <si>
    <t>4K and 40K plate</t>
  </si>
  <si>
    <t>M4 Lock Washer</t>
  </si>
  <si>
    <t>92148A160</t>
  </si>
  <si>
    <t>https://www.mcmaster.com/92148A160/</t>
  </si>
  <si>
    <t>M5 Lock Washer</t>
  </si>
  <si>
    <t>92148A170</t>
  </si>
  <si>
    <t>FeedThrough Clamp - Nuts (4-40 Aluminum)</t>
  </si>
  <si>
    <t>FeedThrough Clamp</t>
  </si>
  <si>
    <t>93181a003</t>
  </si>
  <si>
    <t>https://www.mcmaster.com/93181A003/</t>
  </si>
  <si>
    <t xml:space="preserve">FeedThrough Clamp - Aluminum Washer
</t>
  </si>
  <si>
    <t>93286A005</t>
  </si>
  <si>
    <t>https://www.mcmaster.com/93286A005/</t>
  </si>
  <si>
    <t xml:space="preserve">FeedThrough Clamp - Bolts (4-40 1 in len) Aluminum Socket Head Screw
</t>
  </si>
  <si>
    <t>98511A161</t>
  </si>
  <si>
    <t>https://www.mcmaster.com/98511A161/</t>
  </si>
  <si>
    <t>M6-1-18mm socket head screws</t>
  </si>
  <si>
    <t>collar - PT cooler</t>
  </si>
  <si>
    <t>91292A136</t>
  </si>
  <si>
    <t>https://www.mcmaster.com/allen-screws/thread-size~m6/18-8-stainless-steel-socket-head-screws-11/length~18mm/</t>
  </si>
  <si>
    <t>M6 lock washer</t>
  </si>
  <si>
    <t>92148A180</t>
  </si>
  <si>
    <t>https://www.mcmaster.com/washers/metric-split-lock-washers/split-lock-washer-type~standard/material~stainless-steel/</t>
  </si>
  <si>
    <t>DT-670B SILICON DIODE IN CU PACKAGE, UNCALIBRATED</t>
  </si>
  <si>
    <t>40K, 4K plate, +1 Extra</t>
  </si>
  <si>
    <t>DT-670B-CU</t>
  </si>
  <si>
    <t>LakeShore</t>
  </si>
  <si>
    <t>https://shop.lakeshore.com/temperature-products/temperature-sensors/silicon-diodes/uncalibrated/band-b/dt-670b-silicon-diode-in-cu-package-uncalibrated.html</t>
  </si>
  <si>
    <t>Sae Woo Home</t>
  </si>
  <si>
    <t>AS568-254 O-RINGS FKM, V1000-254 75 DUROMETER, BLACK, FKM (VITON®)</t>
  </si>
  <si>
    <t>PT405 o-ring groove</t>
  </si>
  <si>
    <t xml:space="preserve">1288N273
</t>
  </si>
  <si>
    <t>https://www.mcmaster.com/1288N273/</t>
  </si>
  <si>
    <t>2-56 Socket Head 1/4 inch</t>
  </si>
  <si>
    <t>3D Print Support Stand</t>
  </si>
  <si>
    <t>92196A077</t>
  </si>
  <si>
    <t>https://www.mcmaster.com/92196A077/</t>
  </si>
  <si>
    <t>M5 12mm Coarse Socket Head Cap Screw</t>
  </si>
  <si>
    <t>91292A125</t>
  </si>
  <si>
    <t>https://www.mcmaster.com/91292A125/</t>
  </si>
  <si>
    <t xml:space="preserve">M5 Belleville Spring Lock Washer
</t>
  </si>
  <si>
    <t>91235A316</t>
  </si>
  <si>
    <t>https://www.mcmaster.com/91235A316/</t>
  </si>
  <si>
    <t>Belleville Spring Lock Washer 18-8 Stainless Steel, for Number 10 and M5 Screw Size (serrated )</t>
  </si>
  <si>
    <t>90895A027</t>
  </si>
  <si>
    <t>https://www.mcmaster.com/90895A027/</t>
  </si>
  <si>
    <t>Aluminum, Plate Stock, Thickness (Decimal) 0.25 in, Width and Length 6 in x 6 in</t>
  </si>
  <si>
    <t xml:space="preserve">2AVD6
</t>
  </si>
  <si>
    <t>Grainger</t>
  </si>
  <si>
    <t>https://www.grainger.com/product/GRAINGER-APPROVED-Aluminum-2AVD6</t>
  </si>
  <si>
    <t>SW210601</t>
  </si>
  <si>
    <t>Hubs.com</t>
  </si>
  <si>
    <t>M5 - 24 mm Screws</t>
  </si>
  <si>
    <t>M5 lock washers</t>
  </si>
  <si>
    <t>M4 - 15 mm screws</t>
  </si>
  <si>
    <t>M4 lock washers</t>
  </si>
  <si>
    <t>40k,4k,1k</t>
  </si>
  <si>
    <t>SMA bulkhead feedthrough</t>
  </si>
  <si>
    <t>40k, 4k</t>
  </si>
  <si>
    <t>40k to 4k</t>
  </si>
  <si>
    <t>300k to 40k</t>
  </si>
  <si>
    <t>SMA-SMA coax copper 0.047" - 150mm length</t>
  </si>
  <si>
    <t>SMA-SMA coax copper 0.047" - 250mm length</t>
  </si>
  <si>
    <t>O-ring for RDK101-DL</t>
  </si>
  <si>
    <t>SMA-SMA stainless semirigid 100mm loop 0.085"</t>
  </si>
  <si>
    <t>SMA-SMA stainless semirigid 100mm straight 0.085"</t>
  </si>
  <si>
    <t>WIRING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</si>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</sst>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8" formatCode="&quot;$&quot;#,##0.00_);[Red]\(&quot;$&quot;#,##0.00\)"/>
    <numFmt numFmtId="164" formatCode="&quot;$&quot;#,##0"/>
    <numFmt numFmtId="165" formatCode="&quot;$&quot;#,##0.00"/>
    <numFmt numFmtId="166" formatCode="m/d/yy"/>
  </numFmts>
  <fonts count="43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rgb="FF343434"/>
      <name val="Arial"/>
    </font>
    <font>
      <b/>
      <sz val="10"/>
      <color theme="1"/>
      <name val="Arial"/>
      <scheme val="minor"/>
    </font>
    <font>
      <sz val="10"/>
      <color theme="1"/>
      <name val="Arial"/>
    </font>
    <font>
      <u/>
      <sz val="10"/>
      <color rgb="FF0000FF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u/>
      <sz val="10"/>
      <color rgb="FF0000FF"/>
      <name val="Arial"/>
    </font>
    <font>
      <b/>
      <sz val="13"/>
      <color theme="1"/>
      <name val="Arial"/>
      <scheme val="minor"/>
    </font>
    <font>
      <u/>
      <sz val="10"/>
      <color rgb="FF0000FF"/>
      <name val="Arial"/>
    </font>
    <font>
      <sz val="10"/>
      <color rgb="FF333333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sz val="9"/>
      <color rgb="FF333333"/>
      <name val="HelveticaNeueeTextPro-Roman"/>
    </font>
    <font>
      <u/>
      <sz val="10"/>
      <color rgb="FF0000FF"/>
      <name val="Arial"/>
    </font>
    <font>
      <sz val="9"/>
      <color rgb="FF333333"/>
      <name val="Arial"/>
    </font>
    <font>
      <u/>
      <sz val="10"/>
      <color rgb="FF1155CC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</font>
    <font>
      <u/>
      <sz val="10"/>
      <color rgb="FF0000FF"/>
      <name val="Arial"/>
    </font>
    <font>
      <sz val="9"/>
      <color rgb="FF000000"/>
      <name val="&quot;Google Sans&quot;"/>
    </font>
    <font>
      <sz val="9"/>
      <color rgb="FF000000"/>
      <name val="&quot;Google Sans Mono&quot;"/>
    </font>
    <font>
      <sz val="9"/>
      <color rgb="FF000000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0000FF"/>
      <name val="Arial"/>
    </font>
    <font>
      <u/>
      <sz val="10"/>
      <color theme="10"/>
      <name val="Arial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9"/>
      <color rgb="FF333333"/>
      <name val="Arial"/>
      <family val="2"/>
      <scheme val="minor"/>
    </font>
    <font>
      <sz val="10"/>
      <color rgb="FF000000"/>
      <name val="Quattrocento Sans"/>
    </font>
    <font>
      <sz val="9"/>
      <color rgb="FF000000"/>
      <name val="Arial"/>
      <family val="2"/>
      <scheme val="minor"/>
    </font>
    <font>
      <sz val="12"/>
      <color rgb="FF000000"/>
      <name val="Calibri"/>
      <family val="2"/>
    </font>
    <font>
      <sz val="10"/>
      <color rgb="FF1B1B1B"/>
      <name val="Arial"/>
      <family val="2"/>
      <scheme val="minor"/>
    </font>
    <font>
      <sz val="9"/>
      <color rgb="FF333333"/>
      <name val="Helvetica Neue"/>
    </font>
    <font>
      <sz val="10"/>
      <color rgb="FF000000"/>
      <name val="Roboto"/>
    </font>
    <font>
      <sz val="12"/>
      <color rgb="FF333333"/>
      <name val="Calibri"/>
      <family val="2"/>
    </font>
    <font>
      <b/>
      <u/>
      <sz val="10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/>
    <xf numFmtId="0" fontId="31" fillId="0" borderId="0" applyNumberFormat="0" applyFill="0" applyBorder="0" applyAlignment="0" applyProtection="0"/>
  </cellStyleXfs>
  <cellXfs count="12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14" fontId="1" fillId="0" borderId="0" xfId="0" applyNumberFormat="1" applyFont="1"/>
    <xf numFmtId="0" fontId="3" fillId="0" borderId="0" xfId="0" applyFont="1"/>
    <xf numFmtId="0" fontId="4" fillId="3" borderId="1" xfId="0" applyFont="1" applyFill="1" applyBorder="1" applyAlignment="1">
      <alignment wrapText="1"/>
    </xf>
    <xf numFmtId="164" fontId="4" fillId="3" borderId="1" xfId="0" applyNumberFormat="1" applyFont="1" applyFill="1" applyBorder="1" applyAlignment="1">
      <alignment wrapText="1"/>
    </xf>
    <xf numFmtId="0" fontId="5" fillId="3" borderId="1" xfId="0" applyFont="1" applyFill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164" fontId="6" fillId="3" borderId="1" xfId="0" applyNumberFormat="1" applyFont="1" applyFill="1" applyBorder="1"/>
    <xf numFmtId="0" fontId="4" fillId="0" borderId="0" xfId="0" applyFont="1"/>
    <xf numFmtId="14" fontId="4" fillId="0" borderId="0" xfId="0" applyNumberFormat="1" applyFont="1"/>
    <xf numFmtId="164" fontId="7" fillId="0" borderId="0" xfId="0" applyNumberFormat="1" applyFont="1"/>
    <xf numFmtId="0" fontId="4" fillId="3" borderId="1" xfId="0" applyFont="1" applyFill="1" applyBorder="1" applyAlignment="1">
      <alignment horizontal="left" wrapText="1"/>
    </xf>
    <xf numFmtId="165" fontId="4" fillId="3" borderId="1" xfId="0" applyNumberFormat="1" applyFont="1" applyFill="1" applyBorder="1" applyAlignment="1">
      <alignment wrapText="1"/>
    </xf>
    <xf numFmtId="0" fontId="6" fillId="3" borderId="1" xfId="0" applyFont="1" applyFill="1" applyBorder="1" applyAlignment="1">
      <alignment horizontal="left" wrapText="1"/>
    </xf>
    <xf numFmtId="165" fontId="4" fillId="3" borderId="1" xfId="0" applyNumberFormat="1" applyFont="1" applyFill="1" applyBorder="1"/>
    <xf numFmtId="0" fontId="8" fillId="3" borderId="1" xfId="0" applyFont="1" applyFill="1" applyBorder="1"/>
    <xf numFmtId="0" fontId="6" fillId="2" borderId="0" xfId="0" applyFont="1" applyFill="1"/>
    <xf numFmtId="0" fontId="9" fillId="0" borderId="0" xfId="0" applyFont="1" applyAlignment="1">
      <alignment wrapText="1"/>
    </xf>
    <xf numFmtId="0" fontId="4" fillId="4" borderId="1" xfId="0" applyFont="1" applyFill="1" applyBorder="1" applyAlignment="1">
      <alignment horizontal="left" wrapText="1"/>
    </xf>
    <xf numFmtId="0" fontId="4" fillId="4" borderId="1" xfId="0" applyFont="1" applyFill="1" applyBorder="1" applyAlignment="1">
      <alignment wrapText="1"/>
    </xf>
    <xf numFmtId="165" fontId="4" fillId="4" borderId="1" xfId="0" applyNumberFormat="1" applyFont="1" applyFill="1" applyBorder="1" applyAlignment="1">
      <alignment wrapText="1"/>
    </xf>
    <xf numFmtId="0" fontId="10" fillId="4" borderId="1" xfId="0" applyFont="1" applyFill="1" applyBorder="1"/>
    <xf numFmtId="0" fontId="4" fillId="4" borderId="1" xfId="0" applyFont="1" applyFill="1" applyBorder="1"/>
    <xf numFmtId="165" fontId="4" fillId="4" borderId="1" xfId="0" applyNumberFormat="1" applyFont="1" applyFill="1" applyBorder="1"/>
    <xf numFmtId="164" fontId="6" fillId="4" borderId="1" xfId="0" applyNumberFormat="1" applyFont="1" applyFill="1" applyBorder="1"/>
    <xf numFmtId="165" fontId="7" fillId="0" borderId="0" xfId="0" applyNumberFormat="1" applyFont="1"/>
    <xf numFmtId="0" fontId="6" fillId="4" borderId="1" xfId="0" applyFont="1" applyFill="1" applyBorder="1" applyAlignment="1">
      <alignment wrapText="1"/>
    </xf>
    <xf numFmtId="0" fontId="11" fillId="4" borderId="1" xfId="0" applyFont="1" applyFill="1" applyBorder="1" applyAlignment="1">
      <alignment wrapText="1"/>
    </xf>
    <xf numFmtId="0" fontId="6" fillId="0" borderId="0" xfId="0" applyFont="1"/>
    <xf numFmtId="0" fontId="6" fillId="4" borderId="1" xfId="0" applyFont="1" applyFill="1" applyBorder="1" applyAlignment="1">
      <alignment horizontal="left" wrapText="1"/>
    </xf>
    <xf numFmtId="0" fontId="12" fillId="4" borderId="1" xfId="0" applyFont="1" applyFill="1" applyBorder="1"/>
    <xf numFmtId="165" fontId="4" fillId="4" borderId="1" xfId="0" applyNumberFormat="1" applyFont="1" applyFill="1" applyBorder="1" applyAlignment="1">
      <alignment horizontal="right" wrapText="1"/>
    </xf>
    <xf numFmtId="0" fontId="13" fillId="4" borderId="1" xfId="0" applyFont="1" applyFill="1" applyBorder="1"/>
    <xf numFmtId="0" fontId="11" fillId="4" borderId="1" xfId="0" applyFont="1" applyFill="1" applyBorder="1" applyAlignment="1">
      <alignment horizontal="left" wrapText="1"/>
    </xf>
    <xf numFmtId="0" fontId="14" fillId="4" borderId="1" xfId="0" applyFont="1" applyFill="1" applyBorder="1"/>
    <xf numFmtId="0" fontId="15" fillId="4" borderId="1" xfId="0" applyFont="1" applyFill="1" applyBorder="1" applyAlignment="1">
      <alignment wrapText="1"/>
    </xf>
    <xf numFmtId="0" fontId="14" fillId="4" borderId="0" xfId="0" applyFont="1" applyFill="1"/>
    <xf numFmtId="0" fontId="7" fillId="4" borderId="1" xfId="0" applyFont="1" applyFill="1" applyBorder="1" applyAlignment="1">
      <alignment wrapText="1"/>
    </xf>
    <xf numFmtId="165" fontId="11" fillId="4" borderId="1" xfId="0" applyNumberFormat="1" applyFont="1" applyFill="1" applyBorder="1" applyAlignment="1">
      <alignment wrapText="1"/>
    </xf>
    <xf numFmtId="0" fontId="16" fillId="4" borderId="1" xfId="0" applyFont="1" applyFill="1" applyBorder="1"/>
    <xf numFmtId="0" fontId="7" fillId="4" borderId="1" xfId="0" applyFont="1" applyFill="1" applyBorder="1"/>
    <xf numFmtId="0" fontId="17" fillId="4" borderId="1" xfId="0" applyFont="1" applyFill="1" applyBorder="1" applyAlignment="1">
      <alignment horizontal="left"/>
    </xf>
    <xf numFmtId="165" fontId="7" fillId="4" borderId="1" xfId="0" applyNumberFormat="1" applyFont="1" applyFill="1" applyBorder="1" applyAlignment="1">
      <alignment wrapText="1"/>
    </xf>
    <xf numFmtId="0" fontId="18" fillId="4" borderId="1" xfId="0" applyFont="1" applyFill="1" applyBorder="1"/>
    <xf numFmtId="14" fontId="7" fillId="0" borderId="0" xfId="0" applyNumberFormat="1" applyFont="1"/>
    <xf numFmtId="166" fontId="7" fillId="0" borderId="0" xfId="0" applyNumberFormat="1" applyFont="1"/>
    <xf numFmtId="0" fontId="7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165" fontId="7" fillId="0" borderId="1" xfId="0" applyNumberFormat="1" applyFont="1" applyBorder="1" applyAlignment="1">
      <alignment wrapText="1"/>
    </xf>
    <xf numFmtId="0" fontId="14" fillId="2" borderId="1" xfId="0" applyFont="1" applyFill="1" applyBorder="1"/>
    <xf numFmtId="0" fontId="7" fillId="0" borderId="1" xfId="0" applyFont="1" applyBorder="1"/>
    <xf numFmtId="0" fontId="19" fillId="0" borderId="1" xfId="0" applyFont="1" applyBorder="1"/>
    <xf numFmtId="165" fontId="4" fillId="0" borderId="1" xfId="0" applyNumberFormat="1" applyFont="1" applyBorder="1"/>
    <xf numFmtId="164" fontId="6" fillId="0" borderId="1" xfId="0" applyNumberFormat="1" applyFont="1" applyBorder="1"/>
    <xf numFmtId="0" fontId="4" fillId="0" borderId="1" xfId="0" applyFont="1" applyBorder="1"/>
    <xf numFmtId="0" fontId="20" fillId="0" borderId="1" xfId="0" applyFont="1" applyBorder="1" applyAlignment="1">
      <alignment wrapText="1"/>
    </xf>
    <xf numFmtId="0" fontId="21" fillId="0" borderId="1" xfId="0" applyFont="1" applyBorder="1" applyAlignment="1">
      <alignment horizontal="right"/>
    </xf>
    <xf numFmtId="165" fontId="20" fillId="0" borderId="1" xfId="0" applyNumberFormat="1" applyFont="1" applyBorder="1" applyAlignment="1">
      <alignment horizontal="right"/>
    </xf>
    <xf numFmtId="0" fontId="20" fillId="0" borderId="1" xfId="0" applyFont="1" applyBorder="1"/>
    <xf numFmtId="0" fontId="7" fillId="0" borderId="0" xfId="0" applyFont="1"/>
    <xf numFmtId="0" fontId="20" fillId="0" borderId="0" xfId="0" applyFont="1" applyAlignment="1">
      <alignment wrapText="1"/>
    </xf>
    <xf numFmtId="0" fontId="22" fillId="0" borderId="0" xfId="0" applyFont="1"/>
    <xf numFmtId="0" fontId="20" fillId="0" borderId="0" xfId="0" applyFont="1"/>
    <xf numFmtId="0" fontId="23" fillId="0" borderId="0" xfId="0" applyFont="1"/>
    <xf numFmtId="165" fontId="24" fillId="2" borderId="0" xfId="0" applyNumberFormat="1" applyFont="1" applyFill="1" applyAlignment="1">
      <alignment horizontal="right" vertical="top"/>
    </xf>
    <xf numFmtId="0" fontId="14" fillId="0" borderId="0" xfId="0" applyFont="1"/>
    <xf numFmtId="164" fontId="24" fillId="2" borderId="0" xfId="0" applyNumberFormat="1" applyFont="1" applyFill="1" applyAlignment="1">
      <alignment horizontal="right" vertical="top"/>
    </xf>
    <xf numFmtId="0" fontId="7" fillId="2" borderId="0" xfId="0" applyFont="1" applyFill="1"/>
    <xf numFmtId="0" fontId="7" fillId="3" borderId="0" xfId="0" applyFont="1" applyFill="1"/>
    <xf numFmtId="164" fontId="7" fillId="3" borderId="0" xfId="0" applyNumberFormat="1" applyFont="1" applyFill="1"/>
    <xf numFmtId="0" fontId="23" fillId="2" borderId="0" xfId="0" applyFont="1" applyFill="1"/>
    <xf numFmtId="0" fontId="4" fillId="0" borderId="1" xfId="0" applyFont="1" applyBorder="1" applyAlignment="1">
      <alignment horizontal="left" wrapText="1"/>
    </xf>
    <xf numFmtId="165" fontId="4" fillId="0" borderId="1" xfId="0" applyNumberFormat="1" applyFont="1" applyBorder="1" applyAlignment="1">
      <alignment wrapText="1"/>
    </xf>
    <xf numFmtId="0" fontId="25" fillId="0" borderId="1" xfId="0" applyFont="1" applyBorder="1"/>
    <xf numFmtId="165" fontId="6" fillId="0" borderId="1" xfId="0" applyNumberFormat="1" applyFont="1" applyBorder="1"/>
    <xf numFmtId="166" fontId="4" fillId="0" borderId="0" xfId="0" applyNumberFormat="1" applyFont="1"/>
    <xf numFmtId="0" fontId="6" fillId="0" borderId="1" xfId="0" applyFont="1" applyBorder="1" applyAlignment="1">
      <alignment wrapText="1"/>
    </xf>
    <xf numFmtId="0" fontId="26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6" fillId="0" borderId="1" xfId="0" applyFont="1" applyBorder="1" applyAlignment="1">
      <alignment horizontal="left" wrapText="1"/>
    </xf>
    <xf numFmtId="0" fontId="27" fillId="0" borderId="1" xfId="0" applyFont="1" applyBorder="1" applyAlignment="1">
      <alignment wrapText="1"/>
    </xf>
    <xf numFmtId="165" fontId="4" fillId="0" borderId="1" xfId="0" applyNumberFormat="1" applyFont="1" applyBorder="1" applyAlignment="1">
      <alignment horizontal="right" wrapText="1"/>
    </xf>
    <xf numFmtId="0" fontId="28" fillId="0" borderId="1" xfId="0" applyFont="1" applyBorder="1" applyAlignment="1">
      <alignment wrapText="1"/>
    </xf>
    <xf numFmtId="0" fontId="11" fillId="0" borderId="1" xfId="0" applyFont="1" applyBorder="1" applyAlignment="1">
      <alignment horizontal="left" wrapText="1"/>
    </xf>
    <xf numFmtId="0" fontId="14" fillId="0" borderId="1" xfId="0" applyFont="1" applyBorder="1"/>
    <xf numFmtId="165" fontId="11" fillId="0" borderId="1" xfId="0" applyNumberFormat="1" applyFont="1" applyBorder="1" applyAlignment="1">
      <alignment wrapText="1"/>
    </xf>
    <xf numFmtId="0" fontId="16" fillId="0" borderId="1" xfId="0" applyFont="1" applyBorder="1"/>
    <xf numFmtId="0" fontId="29" fillId="0" borderId="1" xfId="0" applyFont="1" applyBorder="1" applyAlignment="1">
      <alignment horizontal="left" wrapText="1"/>
    </xf>
    <xf numFmtId="0" fontId="30" fillId="0" borderId="1" xfId="0" applyFont="1" applyBorder="1" applyAlignment="1">
      <alignment wrapText="1"/>
    </xf>
    <xf numFmtId="0" fontId="14" fillId="0" borderId="0" xfId="0" applyFont="1" applyAlignment="1">
      <alignment horizontal="right"/>
    </xf>
    <xf numFmtId="0" fontId="6" fillId="0" borderId="1" xfId="0" applyFont="1" applyBorder="1"/>
    <xf numFmtId="0" fontId="22" fillId="0" borderId="1" xfId="0" applyFont="1" applyBorder="1" applyAlignment="1">
      <alignment wrapText="1"/>
    </xf>
    <xf numFmtId="0" fontId="20" fillId="0" borderId="1" xfId="0" applyFont="1" applyBorder="1" applyAlignment="1">
      <alignment horizontal="right"/>
    </xf>
    <xf numFmtId="0" fontId="32" fillId="0" borderId="2" xfId="0" applyFont="1" applyBorder="1" applyAlignment="1"/>
    <xf numFmtId="0" fontId="31" fillId="0" borderId="2" xfId="1" applyBorder="1" applyAlignment="1"/>
    <xf numFmtId="0" fontId="31" fillId="5" borderId="2" xfId="1" applyFill="1" applyBorder="1" applyAlignment="1"/>
    <xf numFmtId="0" fontId="0" fillId="0" borderId="0" xfId="0" applyAlignment="1"/>
    <xf numFmtId="0" fontId="32" fillId="5" borderId="2" xfId="0" applyFont="1" applyFill="1" applyBorder="1" applyAlignment="1"/>
    <xf numFmtId="0" fontId="33" fillId="0" borderId="2" xfId="0" applyFont="1" applyBorder="1" applyAlignment="1"/>
    <xf numFmtId="6" fontId="32" fillId="0" borderId="2" xfId="0" applyNumberFormat="1" applyFont="1" applyBorder="1" applyAlignment="1">
      <alignment horizontal="right"/>
    </xf>
    <xf numFmtId="0" fontId="32" fillId="0" borderId="2" xfId="0" applyFont="1" applyBorder="1" applyAlignment="1">
      <alignment horizontal="right"/>
    </xf>
    <xf numFmtId="0" fontId="32" fillId="0" borderId="2" xfId="0" applyFont="1" applyBorder="1" applyAlignment="1">
      <alignment horizontal="center"/>
    </xf>
    <xf numFmtId="14" fontId="32" fillId="0" borderId="2" xfId="0" applyNumberFormat="1" applyFont="1" applyBorder="1" applyAlignment="1"/>
    <xf numFmtId="8" fontId="32" fillId="0" borderId="2" xfId="0" applyNumberFormat="1" applyFont="1" applyBorder="1" applyAlignment="1">
      <alignment horizontal="right"/>
    </xf>
    <xf numFmtId="0" fontId="34" fillId="5" borderId="2" xfId="0" applyFont="1" applyFill="1" applyBorder="1" applyAlignment="1"/>
    <xf numFmtId="15" fontId="35" fillId="5" borderId="2" xfId="0" applyNumberFormat="1" applyFont="1" applyFill="1" applyBorder="1" applyAlignment="1">
      <alignment horizontal="right"/>
    </xf>
    <xf numFmtId="0" fontId="36" fillId="5" borderId="2" xfId="0" applyFont="1" applyFill="1" applyBorder="1" applyAlignment="1"/>
    <xf numFmtId="15" fontId="37" fillId="5" borderId="2" xfId="0" applyNumberFormat="1" applyFont="1" applyFill="1" applyBorder="1" applyAlignment="1">
      <alignment horizontal="right"/>
    </xf>
    <xf numFmtId="8" fontId="36" fillId="5" borderId="2" xfId="0" applyNumberFormat="1" applyFont="1" applyFill="1" applyBorder="1" applyAlignment="1">
      <alignment horizontal="right" vertical="top"/>
    </xf>
    <xf numFmtId="15" fontId="32" fillId="0" borderId="2" xfId="0" applyNumberFormat="1" applyFont="1" applyBorder="1" applyAlignment="1">
      <alignment horizontal="right"/>
    </xf>
    <xf numFmtId="6" fontId="36" fillId="5" borderId="2" xfId="0" applyNumberFormat="1" applyFont="1" applyFill="1" applyBorder="1" applyAlignment="1">
      <alignment horizontal="right" vertical="top"/>
    </xf>
    <xf numFmtId="14" fontId="32" fillId="0" borderId="2" xfId="0" applyNumberFormat="1" applyFont="1" applyBorder="1" applyAlignment="1">
      <alignment horizontal="right"/>
    </xf>
    <xf numFmtId="8" fontId="38" fillId="0" borderId="2" xfId="0" applyNumberFormat="1" applyFont="1" applyBorder="1" applyAlignment="1"/>
    <xf numFmtId="0" fontId="39" fillId="5" borderId="2" xfId="0" applyFont="1" applyFill="1" applyBorder="1" applyAlignment="1"/>
    <xf numFmtId="8" fontId="34" fillId="5" borderId="2" xfId="0" applyNumberFormat="1" applyFont="1" applyFill="1" applyBorder="1" applyAlignment="1">
      <alignment horizontal="right"/>
    </xf>
    <xf numFmtId="0" fontId="40" fillId="0" borderId="2" xfId="0" applyFont="1" applyBorder="1" applyAlignment="1"/>
    <xf numFmtId="0" fontId="41" fillId="5" borderId="2" xfId="0" applyFont="1" applyFill="1" applyBorder="1" applyAlignment="1"/>
    <xf numFmtId="0" fontId="32" fillId="0" borderId="3" xfId="0" applyFont="1" applyFill="1" applyBorder="1" applyAlignment="1"/>
    <xf numFmtId="0" fontId="32" fillId="0" borderId="3" xfId="0" applyFont="1" applyFill="1" applyBorder="1" applyAlignment="1">
      <alignment horizontal="right"/>
    </xf>
    <xf numFmtId="0" fontId="42" fillId="0" borderId="2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norcomp-inc/380-015-113L001/2798596?utm_adgroup=D-Sub%20Connectors&amp;utm_source=google&amp;utm_medium=cpc&amp;utm_campaign=Shopping_Product_Connectors%2C%20Interconnects&amp;utm_term=&amp;utm_content=D-Sub%20Connectors&amp;gclid=Cj0KCQjw0emHBhC1ARIsAL1QGNceDB7lQxsDiy-hM2oMBTYHjkQrC1SEyt0V8oufECSrwKGBCoFTwKEaArcBEALw_wcB" TargetMode="External"/><Relationship Id="rId13" Type="http://schemas.openxmlformats.org/officeDocument/2006/relationships/hyperlink" Target="https://www.digikey.com/en/products/detail/norcomp-inc/580-M25-203L001/13557495" TargetMode="External"/><Relationship Id="rId18" Type="http://schemas.openxmlformats.org/officeDocument/2006/relationships/hyperlink" Target="https://www.mcmaster.com/92148A170/" TargetMode="External"/><Relationship Id="rId26" Type="http://schemas.openxmlformats.org/officeDocument/2006/relationships/hyperlink" Target="https://www.mcmaster.com/92196A077/" TargetMode="External"/><Relationship Id="rId39" Type="http://schemas.openxmlformats.org/officeDocument/2006/relationships/hyperlink" Target="https://www.ldsvacuumshopper.com/qfbulclam1.html" TargetMode="External"/><Relationship Id="rId3" Type="http://schemas.openxmlformats.org/officeDocument/2006/relationships/hyperlink" Target="https://www.hubs.com/" TargetMode="External"/><Relationship Id="rId21" Type="http://schemas.openxmlformats.org/officeDocument/2006/relationships/hyperlink" Target="https://www.mcmaster.com/98511A161/" TargetMode="External"/><Relationship Id="rId34" Type="http://schemas.openxmlformats.org/officeDocument/2006/relationships/hyperlink" Target="https://www.ldsvacuumshopper.com/qfstainblan2.html" TargetMode="External"/><Relationship Id="rId7" Type="http://schemas.openxmlformats.org/officeDocument/2006/relationships/hyperlink" Target="https://cart.jlcpcb.com/cart" TargetMode="External"/><Relationship Id="rId12" Type="http://schemas.openxmlformats.org/officeDocument/2006/relationships/hyperlink" Target="https://www.newark.com/cinch-connectivity-solutions/dcdm-25ssbn-lf/micro-d-connector-25-position/dp/31M0085?st=d%20sub%20connector" TargetMode="External"/><Relationship Id="rId17" Type="http://schemas.openxmlformats.org/officeDocument/2006/relationships/hyperlink" Target="https://www.mcmaster.com/92148A160/" TargetMode="External"/><Relationship Id="rId25" Type="http://schemas.openxmlformats.org/officeDocument/2006/relationships/hyperlink" Target="https://www.mcmaster.com/1288N273/" TargetMode="External"/><Relationship Id="rId33" Type="http://schemas.openxmlformats.org/officeDocument/2006/relationships/hyperlink" Target="https://www.ldsvacuumshopper.com/lfalcenrinwi.html" TargetMode="External"/><Relationship Id="rId38" Type="http://schemas.openxmlformats.org/officeDocument/2006/relationships/hyperlink" Target="https://www.ldsvacuumshopper.com/qfstainblan.html" TargetMode="External"/><Relationship Id="rId2" Type="http://schemas.openxmlformats.org/officeDocument/2006/relationships/hyperlink" Target="https://www.n-c.com/Products/Flanges-Fittings-and-Adapters/ISO-Components-and-Hardware/Nipples/Full-Nipple.aspx" TargetMode="External"/><Relationship Id="rId16" Type="http://schemas.openxmlformats.org/officeDocument/2006/relationships/hyperlink" Target="https://www.mcmaster.com/91770A076/" TargetMode="External"/><Relationship Id="rId20" Type="http://schemas.openxmlformats.org/officeDocument/2006/relationships/hyperlink" Target="https://www.mcmaster.com/93286A005/" TargetMode="External"/><Relationship Id="rId29" Type="http://schemas.openxmlformats.org/officeDocument/2006/relationships/hyperlink" Target="https://www.mcmaster.com/90895A027/" TargetMode="External"/><Relationship Id="rId1" Type="http://schemas.openxmlformats.org/officeDocument/2006/relationships/hyperlink" Target="https://www.hubs.com/" TargetMode="External"/><Relationship Id="rId6" Type="http://schemas.openxmlformats.org/officeDocument/2006/relationships/hyperlink" Target="https://www.mcmaster.com/91770A076/" TargetMode="External"/><Relationship Id="rId11" Type="http://schemas.openxmlformats.org/officeDocument/2006/relationships/hyperlink" Target="https://www.newark.com/" TargetMode="External"/><Relationship Id="rId24" Type="http://schemas.openxmlformats.org/officeDocument/2006/relationships/hyperlink" Target="https://shop.lakeshore.com/temperature-products/temperature-sensors/silicon-diodes/uncalibrated/band-b/dt-670b-silicon-diode-in-cu-package-uncalibrated.html" TargetMode="External"/><Relationship Id="rId32" Type="http://schemas.openxmlformats.org/officeDocument/2006/relationships/hyperlink" Target="https://www.ldsvacuumshopper.com/isalbl9.html" TargetMode="External"/><Relationship Id="rId37" Type="http://schemas.openxmlformats.org/officeDocument/2006/relationships/hyperlink" Target="https://www.ldsvacuumshopper.com/nwbucl2.html" TargetMode="External"/><Relationship Id="rId5" Type="http://schemas.openxmlformats.org/officeDocument/2006/relationships/hyperlink" Target="https://www.mcmaster.com/91292A806/" TargetMode="External"/><Relationship Id="rId15" Type="http://schemas.openxmlformats.org/officeDocument/2006/relationships/hyperlink" Target="https://www.monoprice.com/product?p_id=3341" TargetMode="External"/><Relationship Id="rId23" Type="http://schemas.openxmlformats.org/officeDocument/2006/relationships/hyperlink" Target="https://www.mcmaster.com/washers/metric-split-lock-washers/split-lock-washer-type~standard/material~stainless-steel/" TargetMode="External"/><Relationship Id="rId28" Type="http://schemas.openxmlformats.org/officeDocument/2006/relationships/hyperlink" Target="https://www.mcmaster.com/91235A316/" TargetMode="External"/><Relationship Id="rId36" Type="http://schemas.openxmlformats.org/officeDocument/2006/relationships/hyperlink" Target="https://www.ldsvacuumshopper.com/qfstainblan1.html" TargetMode="External"/><Relationship Id="rId10" Type="http://schemas.openxmlformats.org/officeDocument/2006/relationships/hyperlink" Target="https://www.digikey.com/en/products/detail/norcomp-inc/380-025-113L001/2798597" TargetMode="External"/><Relationship Id="rId19" Type="http://schemas.openxmlformats.org/officeDocument/2006/relationships/hyperlink" Target="https://www.mcmaster.com/93181A003/" TargetMode="External"/><Relationship Id="rId31" Type="http://schemas.openxmlformats.org/officeDocument/2006/relationships/hyperlink" Target="https://www.ldsvacuumshopper.com/lf400and500s.html" TargetMode="External"/><Relationship Id="rId4" Type="http://schemas.openxmlformats.org/officeDocument/2006/relationships/hyperlink" Target="https://www.hubs.com/" TargetMode="External"/><Relationship Id="rId9" Type="http://schemas.openxmlformats.org/officeDocument/2006/relationships/hyperlink" Target="https://www.omnetics.com/products/micro-d/standard-micro-d-connectors1" TargetMode="External"/><Relationship Id="rId14" Type="http://schemas.openxmlformats.org/officeDocument/2006/relationships/hyperlink" Target="https://cart.jlcpcb.com/cart" TargetMode="External"/><Relationship Id="rId22" Type="http://schemas.openxmlformats.org/officeDocument/2006/relationships/hyperlink" Target="https://www.mcmaster.com/allen-screws/thread-size~m6/18-8-stainless-steel-socket-head-screws-11/length~18mm/" TargetMode="External"/><Relationship Id="rId27" Type="http://schemas.openxmlformats.org/officeDocument/2006/relationships/hyperlink" Target="https://www.mcmaster.com/91292A125/" TargetMode="External"/><Relationship Id="rId30" Type="http://schemas.openxmlformats.org/officeDocument/2006/relationships/hyperlink" Target="https://www.grainger.com/product/GRAINGER-APPROVED-Aluminum-2AVD6" TargetMode="External"/><Relationship Id="rId35" Type="http://schemas.openxmlformats.org/officeDocument/2006/relationships/hyperlink" Target="https://www.ldsvacuumshopper.com/nwbucl3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dealvac.com/Ideal-Vacuum-Cube/pp/P1010939" TargetMode="External"/><Relationship Id="rId13" Type="http://schemas.openxmlformats.org/officeDocument/2006/relationships/hyperlink" Target="https://www.lesker.com/newweb/flanges/hardware_iso_clamps.cfm?pgid=singleal" TargetMode="External"/><Relationship Id="rId18" Type="http://schemas.openxmlformats.org/officeDocument/2006/relationships/hyperlink" Target="https://www.mcmaster.com/91292A128" TargetMode="External"/><Relationship Id="rId26" Type="http://schemas.openxmlformats.org/officeDocument/2006/relationships/hyperlink" Target="https://www.mcmaster.com/60205K64/" TargetMode="External"/><Relationship Id="rId3" Type="http://schemas.openxmlformats.org/officeDocument/2006/relationships/hyperlink" Target="https://www.idealvac.com/Ideal-Vacuum-Cube-Plate-Maintenance-and-Service-Tool-Kit/pp/P1010554" TargetMode="External"/><Relationship Id="rId21" Type="http://schemas.openxmlformats.org/officeDocument/2006/relationships/hyperlink" Target="https://www.mcmaster.com/92196A107/" TargetMode="External"/><Relationship Id="rId7" Type="http://schemas.openxmlformats.org/officeDocument/2006/relationships/hyperlink" Target="https://www.idealvac.com/Ideal-Vacuum-Cube-9x9-in-Vacuum-Chamber-Blank-Plate/pp/P109590" TargetMode="External"/><Relationship Id="rId12" Type="http://schemas.openxmlformats.org/officeDocument/2006/relationships/hyperlink" Target="https://www.ldsvacuumshopper.com/isshornip3.html" TargetMode="External"/><Relationship Id="rId17" Type="http://schemas.openxmlformats.org/officeDocument/2006/relationships/hyperlink" Target="https://www.mcmaster.com/92196A535/" TargetMode="External"/><Relationship Id="rId25" Type="http://schemas.openxmlformats.org/officeDocument/2006/relationships/hyperlink" Target="https://www.mcmaster.com/92196A150/" TargetMode="External"/><Relationship Id="rId2" Type="http://schemas.openxmlformats.org/officeDocument/2006/relationships/hyperlink" Target="https://www.idealvac.com/Ideal-Vacuum-Cube-Hardware-Kit/pp/P109824" TargetMode="External"/><Relationship Id="rId16" Type="http://schemas.openxmlformats.org/officeDocument/2006/relationships/hyperlink" Target="https://www.mcmaster.com/9712K15/" TargetMode="External"/><Relationship Id="rId20" Type="http://schemas.openxmlformats.org/officeDocument/2006/relationships/hyperlink" Target="https://www.mcmaster.com/92196A105/" TargetMode="External"/><Relationship Id="rId29" Type="http://schemas.openxmlformats.org/officeDocument/2006/relationships/hyperlink" Target="https://www.mcmaster.com/91235a102/" TargetMode="External"/><Relationship Id="rId1" Type="http://schemas.openxmlformats.org/officeDocument/2006/relationships/hyperlink" Target="https://www.idealvac.com/en-us/Ideal-Vacuum-Cube-9x9x9-in-Vacuum-Chamber-Frame-6061-T6-Aluminum-Alloy/pp/P109589" TargetMode="External"/><Relationship Id="rId6" Type="http://schemas.openxmlformats.org/officeDocument/2006/relationships/hyperlink" Target="https://www.idealvac.com/en-us/Ideal-Vacuum-Cube/pp/P1012389" TargetMode="External"/><Relationship Id="rId11" Type="http://schemas.openxmlformats.org/officeDocument/2006/relationships/hyperlink" Target="https://www.idealvac.com/Ideal-Vacuum-Cube-Quick-Knob-Assembly/pp/P107936" TargetMode="External"/><Relationship Id="rId24" Type="http://schemas.openxmlformats.org/officeDocument/2006/relationships/hyperlink" Target="https://www.mcmaster.com/92196A191/" TargetMode="External"/><Relationship Id="rId5" Type="http://schemas.openxmlformats.org/officeDocument/2006/relationships/hyperlink" Target="https://www.idealvac.com/ISO-160-Centering-Ring-Aluminum-with-Viton-O-Ring-NW-160-Vacuum-Flange-Size-Typically-Used-with-6-Inch-OD-(1524-mm)-Tubing/pp/P101769" TargetMode="External"/><Relationship Id="rId15" Type="http://schemas.openxmlformats.org/officeDocument/2006/relationships/hyperlink" Target="https://www.mcmaster.com/9709K11/" TargetMode="External"/><Relationship Id="rId23" Type="http://schemas.openxmlformats.org/officeDocument/2006/relationships/hyperlink" Target="https://www.mcmaster.com/98511A743/" TargetMode="External"/><Relationship Id="rId28" Type="http://schemas.openxmlformats.org/officeDocument/2006/relationships/hyperlink" Target="https://www.mcmaster.com/60205K64/" TargetMode="External"/><Relationship Id="rId10" Type="http://schemas.openxmlformats.org/officeDocument/2006/relationships/hyperlink" Target="https://www.idealvac.com/Ideal-Vacuum-Cube-9x9-in-Vacuum-Chamber-Blank-Plate/pp/P109590" TargetMode="External"/><Relationship Id="rId19" Type="http://schemas.openxmlformats.org/officeDocument/2006/relationships/hyperlink" Target="https://www.mcmaster.com/92148A170/" TargetMode="External"/><Relationship Id="rId4" Type="http://schemas.openxmlformats.org/officeDocument/2006/relationships/hyperlink" Target="https://www.idealvac.com/Ideal-Vacuum-Cube/pp/P1012249" TargetMode="External"/><Relationship Id="rId9" Type="http://schemas.openxmlformats.org/officeDocument/2006/relationships/hyperlink" Target="https://www.idealvac.com/Ideal-Vacuum-Cube/pp/P109595" TargetMode="External"/><Relationship Id="rId14" Type="http://schemas.openxmlformats.org/officeDocument/2006/relationships/hyperlink" Target="https://www.mcmaster.com/9464K69/" TargetMode="External"/><Relationship Id="rId22" Type="http://schemas.openxmlformats.org/officeDocument/2006/relationships/hyperlink" Target="https://www.mcmaster.com/9712K54/" TargetMode="External"/><Relationship Id="rId27" Type="http://schemas.openxmlformats.org/officeDocument/2006/relationships/hyperlink" Target="https://www.mcmaster.com/92196A240/" TargetMode="External"/><Relationship Id="rId30" Type="http://schemas.openxmlformats.org/officeDocument/2006/relationships/hyperlink" Target="https://www.mcmaster.com/91830A101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cmaster.com/9709K11/" TargetMode="External"/><Relationship Id="rId13" Type="http://schemas.openxmlformats.org/officeDocument/2006/relationships/hyperlink" Target="https://www.mcmaster.com/92196A105/" TargetMode="External"/><Relationship Id="rId18" Type="http://schemas.openxmlformats.org/officeDocument/2006/relationships/hyperlink" Target="https://www.mcmaster.com/92196A150/" TargetMode="External"/><Relationship Id="rId3" Type="http://schemas.openxmlformats.org/officeDocument/2006/relationships/hyperlink" Target="https://www.idealvac.com/Ideal-Vacuum-Cube-9x9-in-Vacuum-Chamber-Blank-Plate/pp/P109590" TargetMode="External"/><Relationship Id="rId21" Type="http://schemas.openxmlformats.org/officeDocument/2006/relationships/hyperlink" Target="https://www.mcmaster.com/60205K64/" TargetMode="External"/><Relationship Id="rId7" Type="http://schemas.openxmlformats.org/officeDocument/2006/relationships/hyperlink" Target="https://www.mcmaster.com/9464K69/" TargetMode="External"/><Relationship Id="rId12" Type="http://schemas.openxmlformats.org/officeDocument/2006/relationships/hyperlink" Target="https://www.mcmaster.com/92148A170/" TargetMode="External"/><Relationship Id="rId17" Type="http://schemas.openxmlformats.org/officeDocument/2006/relationships/hyperlink" Target="https://www.mcmaster.com/92196A191/" TargetMode="External"/><Relationship Id="rId2" Type="http://schemas.openxmlformats.org/officeDocument/2006/relationships/hyperlink" Target="https://www.idealvac.com/Ideal-Vacuum-Cube/pp/P109595" TargetMode="External"/><Relationship Id="rId16" Type="http://schemas.openxmlformats.org/officeDocument/2006/relationships/hyperlink" Target="https://www.mcmaster.com/98511A743/" TargetMode="External"/><Relationship Id="rId20" Type="http://schemas.openxmlformats.org/officeDocument/2006/relationships/hyperlink" Target="https://www.mcmaster.com/92196A240/" TargetMode="External"/><Relationship Id="rId1" Type="http://schemas.openxmlformats.org/officeDocument/2006/relationships/hyperlink" Target="https://www.idealvac.com/Ideal-Vacuum-Cube/pp/P1010939" TargetMode="External"/><Relationship Id="rId6" Type="http://schemas.openxmlformats.org/officeDocument/2006/relationships/hyperlink" Target="https://www.lesker.com/newweb/flanges/hardware_iso_clamps.cfm?pgid=singleal" TargetMode="External"/><Relationship Id="rId11" Type="http://schemas.openxmlformats.org/officeDocument/2006/relationships/hyperlink" Target="https://www.mcmaster.com/91292A128" TargetMode="External"/><Relationship Id="rId5" Type="http://schemas.openxmlformats.org/officeDocument/2006/relationships/hyperlink" Target="https://www.ldsnipplefabricator.com/" TargetMode="External"/><Relationship Id="rId15" Type="http://schemas.openxmlformats.org/officeDocument/2006/relationships/hyperlink" Target="https://www.mcmaster.com/9712K54/" TargetMode="External"/><Relationship Id="rId10" Type="http://schemas.openxmlformats.org/officeDocument/2006/relationships/hyperlink" Target="https://www.mcmaster.com/92196A535/" TargetMode="External"/><Relationship Id="rId19" Type="http://schemas.openxmlformats.org/officeDocument/2006/relationships/hyperlink" Target="https://www.mcmaster.com/60205K64/" TargetMode="External"/><Relationship Id="rId4" Type="http://schemas.openxmlformats.org/officeDocument/2006/relationships/hyperlink" Target="https://www.idealvac.com/Ideal-Vacuum-Cube-Quick-Knob-Assembly/pp/P107936" TargetMode="External"/><Relationship Id="rId9" Type="http://schemas.openxmlformats.org/officeDocument/2006/relationships/hyperlink" Target="https://www.mcmaster.com/9712K15/" TargetMode="External"/><Relationship Id="rId14" Type="http://schemas.openxmlformats.org/officeDocument/2006/relationships/hyperlink" Target="https://www.mcmaster.com/92196A10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771F6-90B6-4AE5-BFA3-DB41EC0247BB}">
  <dimension ref="A1:W1018"/>
  <sheetViews>
    <sheetView tabSelected="1" topLeftCell="A12" workbookViewId="0">
      <selection activeCell="B25" sqref="B25"/>
    </sheetView>
  </sheetViews>
  <sheetFormatPr defaultRowHeight="12.5"/>
  <cols>
    <col min="1" max="1" width="41.08984375" style="100" customWidth="1"/>
    <col min="2" max="2" width="10.453125" style="100" customWidth="1"/>
    <col min="3" max="3" width="8.7265625" style="100"/>
    <col min="4" max="4" width="8.7265625" style="100" customWidth="1"/>
    <col min="5" max="6" width="8.7265625" style="100"/>
    <col min="7" max="7" width="31.36328125" style="100" bestFit="1" customWidth="1"/>
    <col min="8" max="8" width="34.26953125" style="100" bestFit="1" customWidth="1"/>
    <col min="9" max="9" width="13.7265625" style="100" customWidth="1"/>
    <col min="10" max="10" width="8.7265625" style="100" customWidth="1"/>
    <col min="11" max="16384" width="8.7265625" style="100"/>
  </cols>
  <sheetData>
    <row r="1" spans="1:23" ht="13.5" thickBot="1">
      <c r="A1" s="97" t="s">
        <v>149</v>
      </c>
      <c r="B1" s="97" t="s">
        <v>0</v>
      </c>
      <c r="C1" s="97" t="s">
        <v>3</v>
      </c>
      <c r="D1" s="97" t="s">
        <v>1</v>
      </c>
      <c r="E1" s="97" t="s">
        <v>2</v>
      </c>
      <c r="F1" s="97" t="s">
        <v>4</v>
      </c>
      <c r="G1" s="101" t="s">
        <v>5</v>
      </c>
      <c r="H1" s="97" t="s">
        <v>6</v>
      </c>
      <c r="I1" s="97" t="s">
        <v>150</v>
      </c>
      <c r="J1" s="97" t="s">
        <v>11</v>
      </c>
      <c r="K1" s="97" t="s">
        <v>151</v>
      </c>
      <c r="L1" s="97" t="s">
        <v>13</v>
      </c>
      <c r="M1" s="97" t="s">
        <v>14</v>
      </c>
      <c r="N1" s="97" t="s">
        <v>15</v>
      </c>
      <c r="O1" s="102" t="s">
        <v>16</v>
      </c>
      <c r="P1" s="97" t="s">
        <v>17</v>
      </c>
      <c r="Q1" s="97" t="s">
        <v>18</v>
      </c>
      <c r="R1" s="97" t="s">
        <v>19</v>
      </c>
      <c r="S1" s="97"/>
      <c r="T1" s="97"/>
      <c r="U1" s="97" t="s">
        <v>6</v>
      </c>
      <c r="V1" s="97" t="s">
        <v>152</v>
      </c>
      <c r="W1" s="97" t="s">
        <v>1</v>
      </c>
    </row>
    <row r="2" spans="1:23" ht="13" thickBot="1">
      <c r="A2" s="97" t="s">
        <v>153</v>
      </c>
      <c r="B2" s="97" t="s">
        <v>154</v>
      </c>
      <c r="C2" s="104">
        <v>12</v>
      </c>
      <c r="D2" s="103">
        <v>6</v>
      </c>
      <c r="E2" s="104">
        <v>1</v>
      </c>
      <c r="F2" s="104">
        <v>12</v>
      </c>
      <c r="G2" s="97" t="s">
        <v>155</v>
      </c>
      <c r="H2" s="97" t="s">
        <v>69</v>
      </c>
      <c r="I2" s="98" t="s">
        <v>156</v>
      </c>
      <c r="J2" s="103">
        <v>71</v>
      </c>
      <c r="K2" s="104">
        <v>71.28</v>
      </c>
      <c r="L2" s="105" t="b">
        <v>0</v>
      </c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</row>
    <row r="3" spans="1:23" ht="13" thickBot="1">
      <c r="A3" s="97" t="s">
        <v>158</v>
      </c>
      <c r="B3" s="97" t="s">
        <v>154</v>
      </c>
      <c r="C3" s="104">
        <v>1</v>
      </c>
      <c r="D3" s="103">
        <v>609</v>
      </c>
      <c r="E3" s="104">
        <v>1</v>
      </c>
      <c r="F3" s="104">
        <v>1</v>
      </c>
      <c r="G3" s="97" t="s">
        <v>159</v>
      </c>
      <c r="H3" s="97" t="s">
        <v>69</v>
      </c>
      <c r="I3" s="98" t="s">
        <v>160</v>
      </c>
      <c r="J3" s="103">
        <v>609</v>
      </c>
      <c r="K3" s="104">
        <v>609</v>
      </c>
      <c r="L3" s="105" t="b">
        <v>0</v>
      </c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</row>
    <row r="4" spans="1:23" ht="13" thickBot="1">
      <c r="A4" s="97" t="s">
        <v>161</v>
      </c>
      <c r="B4" s="97" t="s">
        <v>154</v>
      </c>
      <c r="C4" s="104">
        <v>1</v>
      </c>
      <c r="D4" s="103">
        <v>184</v>
      </c>
      <c r="E4" s="104">
        <v>1</v>
      </c>
      <c r="F4" s="104">
        <v>1</v>
      </c>
      <c r="G4" s="101" t="s">
        <v>162</v>
      </c>
      <c r="H4" s="97" t="s">
        <v>69</v>
      </c>
      <c r="I4" s="98" t="s">
        <v>163</v>
      </c>
      <c r="J4" s="103">
        <v>184</v>
      </c>
      <c r="K4" s="104">
        <v>184</v>
      </c>
      <c r="L4" s="105" t="b">
        <v>0</v>
      </c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</row>
    <row r="5" spans="1:23" ht="13" thickBot="1">
      <c r="A5" s="97" t="s">
        <v>164</v>
      </c>
      <c r="B5" s="97" t="s">
        <v>154</v>
      </c>
      <c r="C5" s="104">
        <v>12</v>
      </c>
      <c r="D5" s="103">
        <v>10</v>
      </c>
      <c r="E5" s="104">
        <v>1</v>
      </c>
      <c r="F5" s="104">
        <v>12</v>
      </c>
      <c r="G5" s="101" t="s">
        <v>165</v>
      </c>
      <c r="H5" s="97" t="s">
        <v>69</v>
      </c>
      <c r="I5" s="98" t="s">
        <v>166</v>
      </c>
      <c r="J5" s="103">
        <v>120</v>
      </c>
      <c r="K5" s="104">
        <v>120</v>
      </c>
      <c r="L5" s="105" t="b">
        <v>0</v>
      </c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</row>
    <row r="6" spans="1:23" ht="13" thickBot="1">
      <c r="A6" s="97" t="s">
        <v>167</v>
      </c>
      <c r="B6" s="97" t="s">
        <v>154</v>
      </c>
      <c r="C6" s="104">
        <v>12</v>
      </c>
      <c r="D6" s="103">
        <v>252</v>
      </c>
      <c r="E6" s="104">
        <v>10</v>
      </c>
      <c r="F6" s="104">
        <v>2</v>
      </c>
      <c r="G6" s="101" t="s">
        <v>168</v>
      </c>
      <c r="H6" s="97" t="s">
        <v>69</v>
      </c>
      <c r="I6" s="98" t="s">
        <v>169</v>
      </c>
      <c r="J6" s="103">
        <v>504</v>
      </c>
      <c r="K6" s="104">
        <v>302.39999999999998</v>
      </c>
      <c r="L6" s="105" t="b">
        <v>0</v>
      </c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</row>
    <row r="7" spans="1:23" ht="13" thickBot="1">
      <c r="A7" s="97" t="s">
        <v>170</v>
      </c>
      <c r="B7" s="97" t="s">
        <v>154</v>
      </c>
      <c r="C7" s="104">
        <v>3</v>
      </c>
      <c r="D7" s="103">
        <v>12</v>
      </c>
      <c r="E7" s="104">
        <v>1</v>
      </c>
      <c r="F7" s="104">
        <v>3</v>
      </c>
      <c r="G7" s="101" t="s">
        <v>171</v>
      </c>
      <c r="H7" s="97" t="s">
        <v>69</v>
      </c>
      <c r="I7" s="98" t="s">
        <v>172</v>
      </c>
      <c r="J7" s="103">
        <v>35</v>
      </c>
      <c r="K7" s="104">
        <v>35.159999999999997</v>
      </c>
      <c r="L7" s="105" t="b">
        <v>0</v>
      </c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</row>
    <row r="8" spans="1:23" ht="13" thickBot="1">
      <c r="A8" s="97" t="s">
        <v>173</v>
      </c>
      <c r="B8" s="97" t="s">
        <v>154</v>
      </c>
      <c r="C8" s="104">
        <v>3</v>
      </c>
      <c r="D8" s="103">
        <v>227</v>
      </c>
      <c r="E8" s="104">
        <v>10</v>
      </c>
      <c r="F8" s="104">
        <v>1</v>
      </c>
      <c r="G8" s="101" t="s">
        <v>174</v>
      </c>
      <c r="H8" s="97" t="s">
        <v>69</v>
      </c>
      <c r="I8" s="98" t="s">
        <v>175</v>
      </c>
      <c r="J8" s="103">
        <v>227</v>
      </c>
      <c r="K8" s="104">
        <v>68.099999999999994</v>
      </c>
      <c r="L8" s="105" t="b">
        <v>0</v>
      </c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</row>
    <row r="9" spans="1:23" ht="13" thickBot="1">
      <c r="A9" s="97" t="s">
        <v>176</v>
      </c>
      <c r="B9" s="97" t="s">
        <v>154</v>
      </c>
      <c r="C9" s="104">
        <v>2</v>
      </c>
      <c r="D9" s="103">
        <v>6</v>
      </c>
      <c r="E9" s="104">
        <v>1</v>
      </c>
      <c r="F9" s="104">
        <v>2</v>
      </c>
      <c r="G9" s="101" t="s">
        <v>177</v>
      </c>
      <c r="H9" s="97" t="s">
        <v>69</v>
      </c>
      <c r="I9" s="98" t="s">
        <v>178</v>
      </c>
      <c r="J9" s="103">
        <v>12</v>
      </c>
      <c r="K9" s="104">
        <v>12</v>
      </c>
      <c r="L9" s="105" t="b">
        <v>0</v>
      </c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</row>
    <row r="10" spans="1:23" ht="13" thickBot="1">
      <c r="A10" s="97" t="s">
        <v>179</v>
      </c>
      <c r="B10" s="97" t="s">
        <v>154</v>
      </c>
      <c r="C10" s="104">
        <v>2</v>
      </c>
      <c r="D10" s="103">
        <v>23</v>
      </c>
      <c r="E10" s="104">
        <v>1</v>
      </c>
      <c r="F10" s="104">
        <v>2</v>
      </c>
      <c r="G10" s="101" t="s">
        <v>180</v>
      </c>
      <c r="H10" s="97" t="s">
        <v>69</v>
      </c>
      <c r="I10" s="98" t="s">
        <v>181</v>
      </c>
      <c r="J10" s="103">
        <v>46</v>
      </c>
      <c r="K10" s="104">
        <v>46</v>
      </c>
      <c r="L10" s="105" t="b">
        <v>0</v>
      </c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</row>
    <row r="11" spans="1:23" ht="13" thickBot="1">
      <c r="A11" s="97" t="s">
        <v>312</v>
      </c>
      <c r="B11" s="97" t="s">
        <v>154</v>
      </c>
      <c r="C11" s="104"/>
      <c r="D11" s="107"/>
      <c r="E11" s="104"/>
      <c r="F11" s="104"/>
      <c r="G11" s="101"/>
      <c r="H11" s="97"/>
      <c r="I11" s="98"/>
      <c r="J11" s="107"/>
      <c r="K11" s="104"/>
      <c r="L11" s="105"/>
      <c r="M11" s="97"/>
      <c r="N11" s="106"/>
      <c r="O11" s="97"/>
      <c r="P11" s="106"/>
      <c r="Q11" s="97"/>
      <c r="R11" s="97"/>
      <c r="S11" s="97"/>
      <c r="T11" s="97"/>
      <c r="U11" s="97"/>
      <c r="V11" s="97"/>
      <c r="W11" s="97"/>
    </row>
    <row r="12" spans="1:23" ht="13" thickBot="1">
      <c r="A12" s="97" t="s">
        <v>311</v>
      </c>
      <c r="B12" s="97" t="s">
        <v>154</v>
      </c>
      <c r="C12" s="104"/>
      <c r="D12" s="107"/>
      <c r="E12" s="104"/>
      <c r="F12" s="104"/>
      <c r="G12" s="108"/>
      <c r="H12" s="97"/>
      <c r="I12" s="98"/>
      <c r="J12" s="107">
        <v>8.4</v>
      </c>
      <c r="K12" s="104">
        <v>2.02</v>
      </c>
      <c r="L12" s="105" t="b">
        <v>1</v>
      </c>
      <c r="M12" s="97"/>
      <c r="N12" s="106"/>
      <c r="O12" s="97"/>
      <c r="P12" s="106"/>
      <c r="Q12" s="97"/>
      <c r="R12" s="97"/>
      <c r="S12" s="97"/>
      <c r="T12" s="97"/>
      <c r="V12" s="97"/>
      <c r="W12" s="97"/>
    </row>
    <row r="13" spans="1:23" ht="13.5" thickBot="1">
      <c r="A13" s="97" t="s">
        <v>185</v>
      </c>
      <c r="B13" s="97" t="s">
        <v>154</v>
      </c>
      <c r="C13" s="104">
        <v>1</v>
      </c>
      <c r="D13" s="107"/>
      <c r="E13" s="104">
        <v>1</v>
      </c>
      <c r="F13" s="104">
        <v>1</v>
      </c>
      <c r="G13" s="99"/>
      <c r="H13" s="97" t="s">
        <v>310</v>
      </c>
      <c r="I13" s="98" t="s">
        <v>187</v>
      </c>
      <c r="J13" s="107">
        <v>4889.5200000000004</v>
      </c>
      <c r="K13" s="104">
        <v>4889.5200000000004</v>
      </c>
      <c r="L13" s="105" t="b">
        <v>1</v>
      </c>
      <c r="M13" s="97"/>
      <c r="N13" s="97"/>
      <c r="O13" s="101"/>
      <c r="P13" s="109"/>
      <c r="Q13" s="97"/>
      <c r="R13" s="97"/>
      <c r="S13" s="97"/>
      <c r="T13" s="97"/>
      <c r="V13" s="97"/>
      <c r="W13" s="97"/>
    </row>
    <row r="14" spans="1:23" ht="13" thickBot="1">
      <c r="A14" s="97" t="s">
        <v>313</v>
      </c>
      <c r="B14" s="97" t="s">
        <v>315</v>
      </c>
      <c r="C14" s="104">
        <v>36</v>
      </c>
      <c r="D14" s="97"/>
      <c r="E14" s="104"/>
      <c r="F14" s="104"/>
      <c r="G14" s="101"/>
      <c r="H14" s="97"/>
      <c r="I14" s="97"/>
      <c r="J14" s="107"/>
      <c r="K14" s="104"/>
      <c r="L14" s="105"/>
      <c r="M14" s="97"/>
      <c r="N14" s="97"/>
      <c r="O14" s="101"/>
      <c r="P14" s="101"/>
      <c r="Q14" s="97"/>
      <c r="R14" s="97"/>
      <c r="S14" s="97"/>
      <c r="T14" s="97"/>
      <c r="V14" s="97"/>
      <c r="W14" s="97"/>
    </row>
    <row r="15" spans="1:23" ht="13" thickBot="1">
      <c r="A15" s="97" t="s">
        <v>314</v>
      </c>
      <c r="B15" s="97" t="s">
        <v>315</v>
      </c>
      <c r="C15" s="104">
        <v>36</v>
      </c>
      <c r="D15" s="97"/>
      <c r="E15" s="104"/>
      <c r="F15" s="104"/>
      <c r="G15" s="101"/>
      <c r="H15" s="97"/>
      <c r="I15" s="97"/>
      <c r="J15" s="107"/>
      <c r="K15" s="104"/>
      <c r="L15" s="105"/>
      <c r="M15" s="97"/>
      <c r="N15" s="97"/>
      <c r="O15" s="101"/>
      <c r="P15" s="101"/>
      <c r="Q15" s="97"/>
      <c r="R15" s="97"/>
      <c r="S15" s="97"/>
      <c r="T15" s="97"/>
      <c r="V15" s="97"/>
      <c r="W15" s="97"/>
    </row>
    <row r="16" spans="1:23" ht="13" thickBot="1">
      <c r="A16" s="97"/>
      <c r="B16" s="97"/>
      <c r="C16" s="104"/>
      <c r="D16" s="97"/>
      <c r="E16" s="104"/>
      <c r="F16" s="104"/>
      <c r="G16" s="101"/>
      <c r="H16" s="97"/>
      <c r="I16" s="97"/>
      <c r="J16" s="107"/>
      <c r="K16" s="104"/>
      <c r="L16" s="105"/>
      <c r="M16" s="97"/>
      <c r="N16" s="97"/>
      <c r="O16" s="101"/>
      <c r="P16" s="101"/>
      <c r="Q16" s="97"/>
      <c r="R16" s="97"/>
      <c r="S16" s="97"/>
      <c r="T16" s="97"/>
      <c r="V16" s="97"/>
      <c r="W16" s="97"/>
    </row>
    <row r="17" spans="1:23" ht="13.5" thickBot="1">
      <c r="A17" s="123" t="s">
        <v>325</v>
      </c>
      <c r="B17" s="97"/>
      <c r="C17" s="104"/>
      <c r="D17" s="97"/>
      <c r="E17" s="104"/>
      <c r="F17" s="104"/>
      <c r="G17" s="101"/>
      <c r="H17" s="97"/>
      <c r="I17" s="97"/>
      <c r="J17" s="107"/>
      <c r="K17" s="104"/>
      <c r="L17" s="105"/>
      <c r="M17" s="97"/>
      <c r="N17" s="97"/>
      <c r="O17" s="101"/>
      <c r="P17" s="101"/>
      <c r="Q17" s="97"/>
      <c r="R17" s="97"/>
      <c r="S17" s="97"/>
      <c r="T17" s="97"/>
      <c r="V17" s="97"/>
      <c r="W17" s="97"/>
    </row>
    <row r="18" spans="1:23" ht="13" thickBot="1">
      <c r="A18" s="97" t="s">
        <v>316</v>
      </c>
      <c r="B18" s="97" t="s">
        <v>317</v>
      </c>
      <c r="C18" s="104">
        <v>16</v>
      </c>
      <c r="D18" s="97"/>
      <c r="E18" s="104"/>
      <c r="F18" s="104"/>
      <c r="G18" s="101"/>
      <c r="H18" s="97"/>
      <c r="I18" s="97"/>
      <c r="J18" s="107"/>
      <c r="K18" s="104"/>
      <c r="L18" s="105"/>
      <c r="M18" s="97"/>
      <c r="N18" s="97"/>
      <c r="O18" s="101"/>
      <c r="P18" s="101"/>
      <c r="Q18" s="97"/>
      <c r="R18" s="97"/>
      <c r="S18" s="97"/>
      <c r="T18" s="97"/>
      <c r="V18" s="97"/>
      <c r="W18" s="97"/>
    </row>
    <row r="19" spans="1:23" ht="13" thickBot="1">
      <c r="A19" s="97" t="s">
        <v>320</v>
      </c>
      <c r="B19" s="97" t="s">
        <v>318</v>
      </c>
      <c r="C19" s="104">
        <v>16</v>
      </c>
      <c r="D19" s="97"/>
      <c r="E19" s="104"/>
      <c r="F19" s="104"/>
      <c r="G19" s="101"/>
      <c r="H19" s="97"/>
      <c r="I19" s="97"/>
      <c r="J19" s="107"/>
      <c r="K19" s="104"/>
      <c r="L19" s="105"/>
      <c r="M19" s="97"/>
      <c r="N19" s="97"/>
      <c r="O19" s="101"/>
      <c r="P19" s="101"/>
      <c r="Q19" s="97"/>
      <c r="R19" s="97"/>
      <c r="S19" s="97"/>
      <c r="T19" s="97"/>
      <c r="V19" s="97"/>
      <c r="W19" s="97"/>
    </row>
    <row r="20" spans="1:23" ht="13" thickBot="1">
      <c r="A20" s="97" t="s">
        <v>321</v>
      </c>
      <c r="B20" s="97" t="s">
        <v>319</v>
      </c>
      <c r="C20" s="104">
        <v>16</v>
      </c>
      <c r="D20" s="97"/>
      <c r="E20" s="104"/>
      <c r="F20" s="104"/>
      <c r="G20" s="101"/>
      <c r="H20" s="97"/>
      <c r="I20" s="97"/>
      <c r="J20" s="107"/>
      <c r="K20" s="104"/>
      <c r="L20" s="105"/>
      <c r="M20" s="97"/>
      <c r="N20" s="97"/>
      <c r="O20" s="101"/>
      <c r="P20" s="101"/>
      <c r="Q20" s="97"/>
      <c r="R20" s="97"/>
      <c r="S20" s="97"/>
      <c r="T20" s="97"/>
      <c r="V20" s="97"/>
      <c r="W20" s="97"/>
    </row>
    <row r="21" spans="1:23" ht="13" thickBot="1">
      <c r="A21" s="121" t="s">
        <v>323</v>
      </c>
      <c r="B21" s="97" t="s">
        <v>315</v>
      </c>
      <c r="C21" s="122">
        <v>32</v>
      </c>
    </row>
    <row r="22" spans="1:23" ht="13" thickBot="1">
      <c r="A22" s="121" t="s">
        <v>324</v>
      </c>
      <c r="B22" s="97" t="s">
        <v>315</v>
      </c>
      <c r="C22" s="104">
        <v>16</v>
      </c>
      <c r="D22" s="97"/>
      <c r="E22" s="104"/>
      <c r="F22" s="104"/>
      <c r="G22" s="101"/>
      <c r="H22" s="97"/>
      <c r="I22" s="97"/>
      <c r="J22" s="107"/>
      <c r="K22" s="104"/>
      <c r="L22" s="105"/>
      <c r="M22" s="97"/>
      <c r="N22" s="97"/>
      <c r="O22" s="101"/>
      <c r="P22" s="101"/>
      <c r="Q22" s="97"/>
      <c r="R22" s="97"/>
      <c r="S22" s="97"/>
      <c r="T22" s="97"/>
      <c r="V22" s="97"/>
      <c r="W22" s="97"/>
    </row>
    <row r="23" spans="1:23" ht="13.5" thickBot="1">
      <c r="A23" s="123" t="s">
        <v>326</v>
      </c>
      <c r="B23" s="97"/>
      <c r="C23" s="104"/>
      <c r="D23" s="97"/>
      <c r="E23" s="104"/>
      <c r="F23" s="104"/>
      <c r="G23" s="101"/>
      <c r="H23" s="97"/>
      <c r="I23" s="97"/>
      <c r="J23" s="107"/>
      <c r="K23" s="104"/>
      <c r="L23" s="105"/>
      <c r="M23" s="97"/>
      <c r="N23" s="97"/>
      <c r="O23" s="101"/>
      <c r="P23" s="101"/>
      <c r="Q23" s="97"/>
      <c r="R23" s="97"/>
      <c r="S23" s="97"/>
      <c r="T23" s="97"/>
      <c r="V23" s="97"/>
      <c r="W23" s="97"/>
    </row>
    <row r="24" spans="1:23" ht="13" thickBot="1">
      <c r="A24" s="97" t="s">
        <v>322</v>
      </c>
      <c r="B24" s="97"/>
      <c r="C24" s="104"/>
      <c r="D24" s="97"/>
      <c r="E24" s="104"/>
      <c r="F24" s="104"/>
      <c r="G24" s="101"/>
      <c r="H24" s="97"/>
      <c r="I24" s="97"/>
      <c r="J24" s="107"/>
      <c r="K24" s="104"/>
      <c r="L24" s="105"/>
      <c r="M24" s="97"/>
      <c r="N24" s="97"/>
      <c r="O24" s="101"/>
      <c r="P24" s="101"/>
      <c r="Q24" s="97"/>
      <c r="R24" s="97"/>
      <c r="S24" s="97"/>
      <c r="T24" s="97"/>
      <c r="V24" s="97"/>
      <c r="W24" s="97"/>
    </row>
    <row r="25" spans="1:23" ht="13" thickBot="1">
      <c r="A25" s="97"/>
      <c r="B25" s="97"/>
      <c r="C25" s="104"/>
      <c r="D25" s="97"/>
      <c r="E25" s="104"/>
      <c r="F25" s="104"/>
      <c r="G25" s="101"/>
      <c r="H25" s="97"/>
      <c r="I25" s="97"/>
      <c r="J25" s="107"/>
      <c r="K25" s="104"/>
      <c r="L25" s="105"/>
      <c r="M25" s="97"/>
      <c r="N25" s="97"/>
      <c r="O25" s="101"/>
      <c r="P25" s="101"/>
      <c r="Q25" s="97"/>
      <c r="R25" s="97"/>
      <c r="S25" s="97"/>
      <c r="T25" s="97"/>
      <c r="V25" s="97"/>
      <c r="W25" s="97"/>
    </row>
    <row r="26" spans="1:23" ht="13" thickBot="1">
      <c r="A26" s="97"/>
      <c r="B26" s="97"/>
      <c r="C26" s="104"/>
      <c r="D26" s="97"/>
      <c r="E26" s="104"/>
      <c r="F26" s="104"/>
      <c r="G26" s="101"/>
      <c r="H26" s="97"/>
      <c r="I26" s="97"/>
      <c r="J26" s="107"/>
      <c r="K26" s="104"/>
      <c r="L26" s="105"/>
      <c r="M26" s="97"/>
      <c r="N26" s="97"/>
      <c r="O26" s="101"/>
      <c r="P26" s="101"/>
      <c r="Q26" s="97"/>
      <c r="R26" s="97"/>
      <c r="S26" s="97"/>
      <c r="T26" s="97"/>
      <c r="V26" s="97"/>
      <c r="W26" s="97"/>
    </row>
    <row r="27" spans="1:23" ht="13" thickBot="1">
      <c r="A27" s="97"/>
      <c r="B27" s="97"/>
      <c r="C27" s="104"/>
      <c r="D27" s="97"/>
      <c r="E27" s="104"/>
      <c r="F27" s="104"/>
      <c r="G27" s="101"/>
      <c r="H27" s="97"/>
      <c r="I27" s="97"/>
      <c r="J27" s="107"/>
      <c r="K27" s="104"/>
      <c r="L27" s="105"/>
      <c r="M27" s="97"/>
      <c r="N27" s="97"/>
      <c r="O27" s="101"/>
      <c r="P27" s="101"/>
      <c r="Q27" s="97"/>
      <c r="R27" s="97"/>
      <c r="S27" s="97"/>
      <c r="T27" s="97"/>
      <c r="V27" s="97"/>
      <c r="W27" s="97"/>
    </row>
    <row r="28" spans="1:23" ht="13" thickBot="1">
      <c r="A28" s="97"/>
      <c r="B28" s="97"/>
      <c r="C28" s="104"/>
      <c r="D28" s="97"/>
      <c r="E28" s="104"/>
      <c r="F28" s="104"/>
      <c r="G28" s="101"/>
      <c r="H28" s="97"/>
      <c r="I28" s="97"/>
      <c r="J28" s="107"/>
      <c r="K28" s="104"/>
      <c r="L28" s="105"/>
      <c r="M28" s="97"/>
      <c r="N28" s="97"/>
      <c r="O28" s="101"/>
      <c r="P28" s="101"/>
      <c r="Q28" s="97"/>
      <c r="R28" s="97"/>
      <c r="S28" s="97"/>
      <c r="T28" s="97"/>
      <c r="V28" s="97"/>
      <c r="W28" s="97"/>
    </row>
    <row r="29" spans="1:23" ht="13" thickBot="1">
      <c r="A29" s="97"/>
      <c r="B29" s="97"/>
      <c r="C29" s="104"/>
      <c r="D29" s="97"/>
      <c r="E29" s="104"/>
      <c r="F29" s="104"/>
      <c r="G29" s="101"/>
      <c r="H29" s="97"/>
      <c r="I29" s="97"/>
      <c r="J29" s="107"/>
      <c r="K29" s="104"/>
      <c r="L29" s="105"/>
      <c r="M29" s="97"/>
      <c r="N29" s="97"/>
      <c r="O29" s="101"/>
      <c r="P29" s="101"/>
      <c r="Q29" s="97"/>
      <c r="R29" s="97"/>
      <c r="S29" s="97"/>
      <c r="T29" s="97"/>
      <c r="V29" s="97"/>
      <c r="W29" s="97"/>
    </row>
    <row r="30" spans="1:23" ht="13" thickBot="1">
      <c r="A30" s="97"/>
      <c r="B30" s="97"/>
      <c r="C30" s="104"/>
      <c r="D30" s="97"/>
      <c r="E30" s="104"/>
      <c r="F30" s="104"/>
      <c r="G30" s="101"/>
      <c r="H30" s="97"/>
      <c r="I30" s="97"/>
      <c r="J30" s="107"/>
      <c r="K30" s="104"/>
      <c r="L30" s="105"/>
      <c r="M30" s="97"/>
      <c r="N30" s="97"/>
      <c r="O30" s="101"/>
      <c r="P30" s="101"/>
      <c r="Q30" s="97"/>
      <c r="R30" s="97"/>
      <c r="S30" s="97"/>
      <c r="T30" s="97"/>
      <c r="V30" s="97"/>
      <c r="W30" s="97"/>
    </row>
    <row r="31" spans="1:23" ht="13" thickBot="1">
      <c r="A31" s="97"/>
      <c r="B31" s="97"/>
      <c r="C31" s="104"/>
      <c r="D31" s="97"/>
      <c r="E31" s="104"/>
      <c r="F31" s="104"/>
      <c r="G31" s="101"/>
      <c r="H31" s="97"/>
      <c r="I31" s="97"/>
      <c r="J31" s="107"/>
      <c r="K31" s="104"/>
      <c r="L31" s="105"/>
      <c r="M31" s="97"/>
      <c r="N31" s="97"/>
      <c r="O31" s="101"/>
      <c r="P31" s="101"/>
      <c r="Q31" s="97"/>
      <c r="R31" s="97"/>
      <c r="S31" s="97"/>
      <c r="T31" s="97"/>
      <c r="V31" s="97"/>
      <c r="W31" s="97"/>
    </row>
    <row r="32" spans="1:23" ht="13" thickBot="1">
      <c r="A32" s="97"/>
      <c r="B32" s="97"/>
      <c r="C32" s="104"/>
      <c r="D32" s="97"/>
      <c r="E32" s="104"/>
      <c r="F32" s="104"/>
      <c r="G32" s="101"/>
      <c r="H32" s="97"/>
      <c r="I32" s="97"/>
      <c r="J32" s="107"/>
      <c r="K32" s="104"/>
      <c r="L32" s="105"/>
      <c r="M32" s="97"/>
      <c r="N32" s="97"/>
      <c r="O32" s="101"/>
      <c r="P32" s="101"/>
      <c r="Q32" s="97"/>
      <c r="R32" s="97"/>
      <c r="S32" s="97"/>
      <c r="T32" s="97"/>
      <c r="V32" s="97"/>
      <c r="W32" s="97"/>
    </row>
    <row r="33" spans="1:23" ht="16" thickBot="1">
      <c r="A33" s="97" t="s">
        <v>188</v>
      </c>
      <c r="B33" s="97" t="s">
        <v>154</v>
      </c>
      <c r="C33" s="104">
        <v>1</v>
      </c>
      <c r="D33" s="103">
        <v>1500</v>
      </c>
      <c r="E33" s="104">
        <v>1</v>
      </c>
      <c r="F33" s="104">
        <v>1</v>
      </c>
      <c r="G33" s="110" t="s">
        <v>189</v>
      </c>
      <c r="H33" s="97" t="s">
        <v>190</v>
      </c>
      <c r="I33" s="98" t="s">
        <v>191</v>
      </c>
      <c r="J33" s="103">
        <v>1500</v>
      </c>
      <c r="K33" s="104">
        <v>1500</v>
      </c>
      <c r="L33" s="105" t="b">
        <v>1</v>
      </c>
      <c r="M33" s="97"/>
      <c r="N33" s="111"/>
      <c r="O33" s="97"/>
      <c r="P33" s="97"/>
      <c r="Q33" s="97"/>
      <c r="R33" s="97"/>
      <c r="S33" s="97"/>
      <c r="T33" s="97"/>
      <c r="V33" s="97" t="s">
        <v>192</v>
      </c>
      <c r="W33" s="112">
        <v>1480</v>
      </c>
    </row>
    <row r="34" spans="1:23" ht="13" thickBot="1">
      <c r="A34" s="97" t="s">
        <v>194</v>
      </c>
      <c r="B34" s="97" t="s">
        <v>195</v>
      </c>
      <c r="C34" s="104">
        <v>1</v>
      </c>
      <c r="D34" s="107">
        <v>872.78</v>
      </c>
      <c r="E34" s="104">
        <v>1</v>
      </c>
      <c r="F34" s="104">
        <v>1</v>
      </c>
      <c r="G34" s="97" t="s">
        <v>196</v>
      </c>
      <c r="H34" s="97" t="s">
        <v>186</v>
      </c>
      <c r="I34" s="98" t="s">
        <v>187</v>
      </c>
      <c r="J34" s="107">
        <v>872.78</v>
      </c>
      <c r="K34" s="104">
        <v>872.78</v>
      </c>
      <c r="L34" s="105" t="b">
        <v>1</v>
      </c>
      <c r="M34" s="97"/>
      <c r="N34" s="113"/>
      <c r="O34" s="97"/>
      <c r="P34" s="113"/>
      <c r="Q34" s="97"/>
      <c r="R34" s="97"/>
      <c r="S34" s="97"/>
      <c r="T34" s="97"/>
      <c r="V34" s="97" t="s">
        <v>198</v>
      </c>
      <c r="W34" s="114">
        <v>2800</v>
      </c>
    </row>
    <row r="35" spans="1:23" ht="13" thickBot="1">
      <c r="A35" s="97" t="s">
        <v>199</v>
      </c>
      <c r="B35" s="97" t="s">
        <v>200</v>
      </c>
      <c r="C35" s="104">
        <v>1</v>
      </c>
      <c r="D35" s="107">
        <v>868.87</v>
      </c>
      <c r="E35" s="104">
        <v>1</v>
      </c>
      <c r="F35" s="104">
        <v>3</v>
      </c>
      <c r="G35" s="97" t="s">
        <v>196</v>
      </c>
      <c r="H35" s="97" t="s">
        <v>186</v>
      </c>
      <c r="I35" s="98" t="s">
        <v>187</v>
      </c>
      <c r="J35" s="107">
        <v>2606.61</v>
      </c>
      <c r="K35" s="104">
        <v>868.87</v>
      </c>
      <c r="L35" s="105" t="b">
        <v>1</v>
      </c>
      <c r="M35" s="97"/>
      <c r="N35" s="113"/>
      <c r="O35" s="97"/>
      <c r="P35" s="113"/>
      <c r="Q35" s="97"/>
      <c r="R35" s="97"/>
      <c r="S35" s="97"/>
      <c r="T35" s="97"/>
      <c r="V35" s="97" t="s">
        <v>198</v>
      </c>
      <c r="W35" s="97" t="s">
        <v>202</v>
      </c>
    </row>
    <row r="36" spans="1:23" ht="13" thickBot="1">
      <c r="A36" s="97" t="s">
        <v>203</v>
      </c>
      <c r="B36" s="97" t="s">
        <v>204</v>
      </c>
      <c r="C36" s="97"/>
      <c r="D36" s="97"/>
      <c r="E36" s="97"/>
      <c r="F36" s="97"/>
      <c r="G36" s="97"/>
      <c r="H36" s="97"/>
      <c r="I36" s="97"/>
      <c r="J36" s="104">
        <v>0</v>
      </c>
      <c r="K36" s="97"/>
      <c r="L36" s="105" t="b">
        <v>0</v>
      </c>
      <c r="M36" s="97"/>
      <c r="N36" s="97"/>
      <c r="O36" s="97"/>
      <c r="P36" s="97"/>
      <c r="Q36" s="97"/>
      <c r="R36" s="97"/>
      <c r="S36" s="97"/>
      <c r="T36" s="97"/>
      <c r="V36" s="97" t="s">
        <v>206</v>
      </c>
      <c r="W36" s="97" t="s">
        <v>207</v>
      </c>
    </row>
    <row r="37" spans="1:23" ht="13" thickBot="1">
      <c r="A37" s="97" t="s">
        <v>208</v>
      </c>
      <c r="B37" s="97" t="s">
        <v>209</v>
      </c>
      <c r="C37" s="97"/>
      <c r="D37" s="97"/>
      <c r="E37" s="97"/>
      <c r="F37" s="97"/>
      <c r="G37" s="97"/>
      <c r="H37" s="97"/>
      <c r="I37" s="97"/>
      <c r="J37" s="104">
        <v>0</v>
      </c>
      <c r="K37" s="97"/>
      <c r="L37" s="105" t="b">
        <v>0</v>
      </c>
      <c r="M37" s="97"/>
      <c r="N37" s="97"/>
      <c r="O37" s="97"/>
      <c r="P37" s="97"/>
      <c r="Q37" s="97"/>
      <c r="R37" s="97"/>
      <c r="S37" s="97"/>
      <c r="T37" s="97"/>
      <c r="V37" s="97" t="s">
        <v>211</v>
      </c>
      <c r="W37" s="97" t="s">
        <v>212</v>
      </c>
    </row>
    <row r="38" spans="1:23" ht="13" thickBot="1">
      <c r="A38" s="97" t="s">
        <v>213</v>
      </c>
      <c r="B38" s="104" t="s">
        <v>214</v>
      </c>
      <c r="C38" s="104">
        <v>6</v>
      </c>
      <c r="D38" s="107">
        <v>6.96</v>
      </c>
      <c r="E38" s="104">
        <v>50</v>
      </c>
      <c r="F38" s="104">
        <v>1</v>
      </c>
      <c r="G38" s="101" t="s">
        <v>215</v>
      </c>
      <c r="H38" s="97" t="s">
        <v>79</v>
      </c>
      <c r="I38" s="98" t="s">
        <v>216</v>
      </c>
      <c r="J38" s="107">
        <v>6.96</v>
      </c>
      <c r="K38" s="104">
        <v>0.84</v>
      </c>
      <c r="L38" s="105" t="b">
        <v>1</v>
      </c>
      <c r="M38" s="97"/>
      <c r="N38" s="106"/>
      <c r="O38" s="97"/>
      <c r="P38" s="106"/>
      <c r="Q38" s="97"/>
      <c r="R38" s="97"/>
      <c r="S38" s="97"/>
      <c r="T38" s="97"/>
      <c r="U38" s="97"/>
      <c r="V38" s="97"/>
      <c r="W38" s="97"/>
    </row>
    <row r="39" spans="1:23" ht="13" thickBot="1">
      <c r="A39" s="97" t="s">
        <v>217</v>
      </c>
      <c r="B39" s="97" t="s">
        <v>204</v>
      </c>
      <c r="C39" s="104">
        <v>8</v>
      </c>
      <c r="D39" s="107">
        <v>4.96</v>
      </c>
      <c r="E39" s="104">
        <v>100</v>
      </c>
      <c r="F39" s="104">
        <v>1</v>
      </c>
      <c r="G39" s="108" t="s">
        <v>218</v>
      </c>
      <c r="H39" s="97" t="s">
        <v>79</v>
      </c>
      <c r="I39" s="98" t="s">
        <v>219</v>
      </c>
      <c r="J39" s="107">
        <v>4.96</v>
      </c>
      <c r="K39" s="104">
        <v>0.4</v>
      </c>
      <c r="L39" s="105" t="b">
        <v>1</v>
      </c>
      <c r="M39" s="97"/>
      <c r="N39" s="106"/>
      <c r="O39" s="97"/>
      <c r="P39" s="106"/>
      <c r="Q39" s="97"/>
      <c r="R39" s="97"/>
      <c r="S39" s="97"/>
      <c r="T39" s="97"/>
      <c r="U39" s="97"/>
      <c r="V39" s="97"/>
      <c r="W39" s="97"/>
    </row>
    <row r="40" spans="1:23" ht="13" thickBot="1">
      <c r="A40" s="97" t="s">
        <v>220</v>
      </c>
      <c r="B40" s="97" t="s">
        <v>204</v>
      </c>
      <c r="C40" s="97"/>
      <c r="D40" s="97"/>
      <c r="E40" s="97"/>
      <c r="F40" s="97"/>
      <c r="G40" s="101"/>
      <c r="H40" s="97"/>
      <c r="I40" s="97"/>
      <c r="J40" s="104">
        <v>0</v>
      </c>
      <c r="K40" s="97"/>
      <c r="L40" s="105" t="b">
        <v>0</v>
      </c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</row>
    <row r="41" spans="1:23" ht="13" thickBot="1">
      <c r="A41" s="97" t="s">
        <v>221</v>
      </c>
      <c r="B41" s="97" t="s">
        <v>209</v>
      </c>
      <c r="C41" s="97"/>
      <c r="D41" s="97"/>
      <c r="E41" s="97"/>
      <c r="F41" s="97"/>
      <c r="G41" s="97"/>
      <c r="H41" s="97"/>
      <c r="I41" s="97"/>
      <c r="J41" s="104">
        <v>0</v>
      </c>
      <c r="K41" s="97"/>
      <c r="L41" s="105" t="b">
        <v>0</v>
      </c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</row>
    <row r="42" spans="1:23" ht="13" thickBot="1">
      <c r="A42" s="97" t="s">
        <v>222</v>
      </c>
      <c r="B42" s="97" t="s">
        <v>223</v>
      </c>
      <c r="C42" s="104">
        <v>3</v>
      </c>
      <c r="D42" s="97"/>
      <c r="E42" s="104">
        <v>1</v>
      </c>
      <c r="F42" s="104">
        <v>3</v>
      </c>
      <c r="G42" s="101"/>
      <c r="H42" s="97" t="s">
        <v>224</v>
      </c>
      <c r="I42" s="97"/>
      <c r="J42" s="97"/>
      <c r="K42" s="97"/>
      <c r="L42" s="105" t="b">
        <v>0</v>
      </c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</row>
    <row r="43" spans="1:23" ht="13" thickBot="1">
      <c r="A43" s="97" t="s">
        <v>225</v>
      </c>
      <c r="B43" s="97" t="s">
        <v>223</v>
      </c>
      <c r="C43" s="104">
        <v>3</v>
      </c>
      <c r="D43" s="97"/>
      <c r="E43" s="104">
        <v>1</v>
      </c>
      <c r="F43" s="104">
        <v>3</v>
      </c>
      <c r="G43" s="101"/>
      <c r="H43" s="97" t="s">
        <v>224</v>
      </c>
      <c r="I43" s="97"/>
      <c r="J43" s="97"/>
      <c r="K43" s="97"/>
      <c r="L43" s="105" t="b">
        <v>0</v>
      </c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</row>
    <row r="44" spans="1:23" ht="13" thickBot="1">
      <c r="A44" s="97" t="s">
        <v>226</v>
      </c>
      <c r="B44" s="97" t="s">
        <v>227</v>
      </c>
      <c r="C44" s="104">
        <v>3</v>
      </c>
      <c r="D44" s="103">
        <v>4</v>
      </c>
      <c r="E44" s="104">
        <v>5</v>
      </c>
      <c r="F44" s="104">
        <v>1</v>
      </c>
      <c r="G44" s="97"/>
      <c r="H44" s="97" t="s">
        <v>228</v>
      </c>
      <c r="I44" s="98" t="s">
        <v>229</v>
      </c>
      <c r="J44" s="103">
        <v>4</v>
      </c>
      <c r="K44" s="104">
        <v>2.4</v>
      </c>
      <c r="L44" s="105" t="b">
        <v>1</v>
      </c>
      <c r="M44" s="97"/>
      <c r="N44" s="115"/>
      <c r="O44" s="97"/>
      <c r="P44" s="97"/>
      <c r="Q44" s="97"/>
      <c r="R44" s="97"/>
      <c r="S44" s="97"/>
      <c r="T44" s="97"/>
      <c r="U44" s="97"/>
      <c r="V44" s="97"/>
      <c r="W44" s="97"/>
    </row>
    <row r="45" spans="1:23" ht="13" thickBot="1">
      <c r="A45" s="97" t="s">
        <v>230</v>
      </c>
      <c r="B45" s="97" t="s">
        <v>231</v>
      </c>
      <c r="C45" s="104">
        <v>1</v>
      </c>
      <c r="D45" s="107">
        <v>15.62</v>
      </c>
      <c r="E45" s="104">
        <v>1</v>
      </c>
      <c r="F45" s="104">
        <v>5</v>
      </c>
      <c r="G45" s="97" t="s">
        <v>232</v>
      </c>
      <c r="H45" s="97" t="s">
        <v>233</v>
      </c>
      <c r="I45" s="98" t="s">
        <v>234</v>
      </c>
      <c r="J45" s="107">
        <v>78.099999999999994</v>
      </c>
      <c r="K45" s="104">
        <v>15.62</v>
      </c>
      <c r="L45" s="105" t="b">
        <v>1</v>
      </c>
      <c r="M45" s="97"/>
      <c r="N45" s="115"/>
      <c r="O45" s="97"/>
      <c r="P45" s="115"/>
      <c r="Q45" s="97"/>
      <c r="R45" s="97"/>
      <c r="S45" s="97"/>
      <c r="T45" s="97"/>
      <c r="U45" s="97"/>
      <c r="V45" s="97"/>
      <c r="W45" s="97"/>
    </row>
    <row r="46" spans="1:23" ht="13" thickBot="1">
      <c r="A46" s="97" t="s">
        <v>235</v>
      </c>
      <c r="B46" s="97" t="s">
        <v>236</v>
      </c>
      <c r="C46" s="104">
        <v>2</v>
      </c>
      <c r="D46" s="107">
        <v>156.63999999999999</v>
      </c>
      <c r="E46" s="104">
        <v>1</v>
      </c>
      <c r="F46" s="104">
        <v>5</v>
      </c>
      <c r="G46" s="97" t="s">
        <v>237</v>
      </c>
      <c r="H46" s="97" t="s">
        <v>238</v>
      </c>
      <c r="I46" s="98" t="s">
        <v>239</v>
      </c>
      <c r="J46" s="107">
        <v>783.2</v>
      </c>
      <c r="K46" s="104">
        <v>313.27999999999997</v>
      </c>
      <c r="L46" s="105" t="b">
        <v>1</v>
      </c>
      <c r="M46" s="97"/>
      <c r="N46" s="97"/>
      <c r="O46" s="97"/>
      <c r="P46" s="97"/>
      <c r="Q46" s="97"/>
      <c r="R46" s="97"/>
      <c r="S46" s="97"/>
      <c r="T46" s="97"/>
      <c r="U46" s="97" t="s">
        <v>184</v>
      </c>
      <c r="V46" s="97"/>
      <c r="W46" s="97"/>
    </row>
    <row r="47" spans="1:23" ht="13" thickBot="1">
      <c r="A47" s="97" t="s">
        <v>240</v>
      </c>
      <c r="B47" s="97" t="s">
        <v>241</v>
      </c>
      <c r="C47" s="104">
        <v>9</v>
      </c>
      <c r="D47" s="103">
        <v>17</v>
      </c>
      <c r="E47" s="104">
        <v>1</v>
      </c>
      <c r="F47" s="104">
        <v>18</v>
      </c>
      <c r="G47" s="97" t="s">
        <v>242</v>
      </c>
      <c r="H47" s="97" t="s">
        <v>233</v>
      </c>
      <c r="I47" s="98" t="s">
        <v>243</v>
      </c>
      <c r="J47" s="103">
        <v>314</v>
      </c>
      <c r="K47" s="104">
        <v>156.78</v>
      </c>
      <c r="L47" s="105" t="b">
        <v>1</v>
      </c>
      <c r="M47" s="97"/>
      <c r="N47" s="115"/>
      <c r="O47" s="97"/>
      <c r="P47" s="97"/>
      <c r="Q47" s="97"/>
      <c r="R47" s="97"/>
      <c r="S47" s="97"/>
      <c r="T47" s="97"/>
      <c r="U47" s="97"/>
      <c r="V47" s="97"/>
      <c r="W47" s="97"/>
    </row>
    <row r="48" spans="1:23" ht="13" thickBot="1">
      <c r="A48" s="97" t="s">
        <v>244</v>
      </c>
      <c r="B48" s="97" t="s">
        <v>245</v>
      </c>
      <c r="C48" s="104">
        <v>6</v>
      </c>
      <c r="D48" s="107">
        <v>67.790000000000006</v>
      </c>
      <c r="E48" s="104">
        <v>1</v>
      </c>
      <c r="F48" s="104">
        <v>6</v>
      </c>
      <c r="G48" s="97" t="s">
        <v>246</v>
      </c>
      <c r="H48" s="98" t="s">
        <v>247</v>
      </c>
      <c r="I48" s="98" t="s">
        <v>248</v>
      </c>
      <c r="J48" s="107">
        <v>406.74</v>
      </c>
      <c r="K48" s="104">
        <v>406.74</v>
      </c>
      <c r="L48" s="105" t="b">
        <v>1</v>
      </c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</row>
    <row r="49" spans="1:23" ht="13" thickBot="1">
      <c r="A49" s="97" t="s">
        <v>244</v>
      </c>
      <c r="B49" s="97" t="s">
        <v>249</v>
      </c>
      <c r="C49" s="104">
        <v>1</v>
      </c>
      <c r="D49" s="107">
        <v>38</v>
      </c>
      <c r="E49" s="104">
        <v>1</v>
      </c>
      <c r="F49" s="104">
        <v>1</v>
      </c>
      <c r="G49" s="97" t="s">
        <v>250</v>
      </c>
      <c r="H49" s="97" t="s">
        <v>233</v>
      </c>
      <c r="I49" s="98" t="s">
        <v>251</v>
      </c>
      <c r="J49" s="107">
        <v>38</v>
      </c>
      <c r="K49" s="104">
        <v>38</v>
      </c>
      <c r="L49" s="105" t="b">
        <v>1</v>
      </c>
      <c r="M49" s="97"/>
      <c r="N49" s="115"/>
      <c r="O49" s="97"/>
      <c r="P49" s="115"/>
      <c r="Q49" s="97"/>
      <c r="R49" s="97"/>
      <c r="S49" s="97"/>
      <c r="T49" s="97"/>
      <c r="U49" s="97" t="s">
        <v>193</v>
      </c>
      <c r="V49" s="97"/>
      <c r="W49" s="97"/>
    </row>
    <row r="50" spans="1:23" ht="13" thickBot="1">
      <c r="A50" s="97" t="s">
        <v>252</v>
      </c>
      <c r="B50" s="97" t="s">
        <v>185</v>
      </c>
      <c r="C50" s="104">
        <v>1</v>
      </c>
      <c r="D50" s="107">
        <v>70.510000000000005</v>
      </c>
      <c r="E50" s="104">
        <v>5</v>
      </c>
      <c r="F50" s="104">
        <v>1</v>
      </c>
      <c r="G50" s="97"/>
      <c r="H50" s="97" t="s">
        <v>253</v>
      </c>
      <c r="I50" s="98" t="s">
        <v>229</v>
      </c>
      <c r="J50" s="107">
        <v>70.510000000000005</v>
      </c>
      <c r="K50" s="104">
        <v>14.1</v>
      </c>
      <c r="L50" s="105" t="b">
        <v>1</v>
      </c>
      <c r="M50" s="97"/>
      <c r="N50" s="115"/>
      <c r="O50" s="97"/>
      <c r="P50" s="97"/>
      <c r="Q50" s="97"/>
      <c r="R50" s="97"/>
      <c r="S50" s="97"/>
      <c r="T50" s="97"/>
      <c r="U50" s="97" t="s">
        <v>197</v>
      </c>
      <c r="V50" s="97"/>
      <c r="W50" s="97"/>
    </row>
    <row r="51" spans="1:23" ht="13" thickBot="1">
      <c r="A51" s="97" t="s">
        <v>254</v>
      </c>
      <c r="B51" s="97" t="s">
        <v>255</v>
      </c>
      <c r="C51" s="104">
        <v>6</v>
      </c>
      <c r="D51" s="116">
        <v>13.71</v>
      </c>
      <c r="E51" s="104">
        <v>1</v>
      </c>
      <c r="F51" s="104">
        <v>6</v>
      </c>
      <c r="G51" s="104">
        <v>3340</v>
      </c>
      <c r="H51" s="97" t="s">
        <v>256</v>
      </c>
      <c r="I51" s="98" t="s">
        <v>257</v>
      </c>
      <c r="J51" s="107">
        <v>82.26</v>
      </c>
      <c r="K51" s="104">
        <v>82.26</v>
      </c>
      <c r="L51" s="105" t="b">
        <v>0</v>
      </c>
      <c r="M51" s="97"/>
      <c r="N51" s="97"/>
      <c r="O51" s="97"/>
      <c r="P51" s="97"/>
      <c r="Q51" s="97"/>
      <c r="R51" s="97"/>
      <c r="S51" s="97"/>
      <c r="T51" s="97"/>
      <c r="U51" s="97" t="s">
        <v>201</v>
      </c>
      <c r="V51" s="97"/>
      <c r="W51" s="97"/>
    </row>
    <row r="52" spans="1:23" ht="13" thickBot="1">
      <c r="A52" s="97" t="s">
        <v>258</v>
      </c>
      <c r="B52" s="104" t="s">
        <v>259</v>
      </c>
      <c r="C52" s="97"/>
      <c r="D52" s="97"/>
      <c r="E52" s="97"/>
      <c r="F52" s="97"/>
      <c r="G52" s="97"/>
      <c r="H52" s="97"/>
      <c r="I52" s="97"/>
      <c r="J52" s="104">
        <v>0</v>
      </c>
      <c r="K52" s="97"/>
      <c r="L52" s="105" t="b">
        <v>0</v>
      </c>
      <c r="M52" s="97"/>
      <c r="N52" s="97"/>
      <c r="O52" s="97"/>
      <c r="P52" s="97"/>
      <c r="Q52" s="97"/>
      <c r="R52" s="97"/>
      <c r="S52" s="97"/>
      <c r="T52" s="97"/>
      <c r="U52" s="97" t="s">
        <v>205</v>
      </c>
      <c r="V52" s="97"/>
      <c r="W52" s="97"/>
    </row>
    <row r="53" spans="1:23" ht="13" thickBot="1">
      <c r="A53" s="97" t="s">
        <v>217</v>
      </c>
      <c r="B53" s="97" t="s">
        <v>209</v>
      </c>
      <c r="C53" s="104">
        <v>8</v>
      </c>
      <c r="D53" s="107">
        <v>4.96</v>
      </c>
      <c r="E53" s="104">
        <v>100</v>
      </c>
      <c r="F53" s="104">
        <v>1</v>
      </c>
      <c r="G53" s="117" t="s">
        <v>218</v>
      </c>
      <c r="H53" s="97" t="s">
        <v>79</v>
      </c>
      <c r="I53" s="98" t="s">
        <v>219</v>
      </c>
      <c r="J53" s="107">
        <v>4.96</v>
      </c>
      <c r="K53" s="104">
        <v>0.4</v>
      </c>
      <c r="L53" s="105" t="b">
        <v>1</v>
      </c>
      <c r="M53" s="97"/>
      <c r="N53" s="106"/>
      <c r="O53" s="97"/>
      <c r="P53" s="106"/>
      <c r="Q53" s="97"/>
      <c r="R53" s="97"/>
      <c r="S53" s="97"/>
      <c r="T53" s="97"/>
      <c r="U53" s="97" t="s">
        <v>210</v>
      </c>
      <c r="V53" s="97"/>
      <c r="W53" s="97"/>
    </row>
    <row r="54" spans="1:23" ht="13" thickBot="1">
      <c r="A54" s="97" t="s">
        <v>260</v>
      </c>
      <c r="B54" s="104" t="s">
        <v>214</v>
      </c>
      <c r="C54" s="104">
        <v>6</v>
      </c>
      <c r="D54" s="107">
        <v>1.59</v>
      </c>
      <c r="E54" s="104">
        <v>100</v>
      </c>
      <c r="F54" s="104">
        <v>1</v>
      </c>
      <c r="G54" s="101" t="s">
        <v>261</v>
      </c>
      <c r="H54" s="97" t="s">
        <v>79</v>
      </c>
      <c r="I54" s="98" t="s">
        <v>262</v>
      </c>
      <c r="J54" s="107">
        <v>1.59</v>
      </c>
      <c r="K54" s="104">
        <v>0.1</v>
      </c>
      <c r="L54" s="105" t="b">
        <v>1</v>
      </c>
      <c r="M54" s="97"/>
      <c r="N54" s="106"/>
      <c r="O54" s="97"/>
      <c r="P54" s="106"/>
      <c r="Q54" s="97"/>
      <c r="R54" s="97"/>
      <c r="S54" s="97"/>
      <c r="T54" s="97"/>
      <c r="U54" s="97"/>
      <c r="V54" s="97"/>
      <c r="W54" s="97"/>
    </row>
    <row r="55" spans="1:23" ht="13" thickBot="1">
      <c r="A55" s="97" t="s">
        <v>263</v>
      </c>
      <c r="B55" s="104" t="s">
        <v>183</v>
      </c>
      <c r="C55" s="104">
        <v>6</v>
      </c>
      <c r="D55" s="107">
        <v>2.59</v>
      </c>
      <c r="E55" s="104">
        <v>100</v>
      </c>
      <c r="F55" s="104">
        <v>1</v>
      </c>
      <c r="G55" s="101" t="s">
        <v>264</v>
      </c>
      <c r="H55" s="97" t="s">
        <v>79</v>
      </c>
      <c r="I55" s="98" t="s">
        <v>99</v>
      </c>
      <c r="J55" s="107">
        <v>2.59</v>
      </c>
      <c r="K55" s="104">
        <v>0.16</v>
      </c>
      <c r="L55" s="105" t="b">
        <v>1</v>
      </c>
      <c r="M55" s="97"/>
      <c r="N55" s="106"/>
      <c r="O55" s="97"/>
      <c r="P55" s="106"/>
      <c r="Q55" s="97"/>
      <c r="R55" s="97"/>
      <c r="S55" s="97"/>
      <c r="T55" s="97"/>
      <c r="U55" s="97"/>
      <c r="V55" s="97"/>
      <c r="W55" s="97"/>
    </row>
    <row r="56" spans="1:23" ht="13" thickBot="1">
      <c r="A56" s="97" t="s">
        <v>265</v>
      </c>
      <c r="B56" s="104" t="s">
        <v>266</v>
      </c>
      <c r="C56" s="104">
        <v>32</v>
      </c>
      <c r="D56" s="107">
        <v>4.59</v>
      </c>
      <c r="E56" s="104">
        <v>100</v>
      </c>
      <c r="F56" s="104">
        <v>1</v>
      </c>
      <c r="G56" s="101" t="s">
        <v>267</v>
      </c>
      <c r="H56" s="97" t="s">
        <v>79</v>
      </c>
      <c r="I56" s="98" t="s">
        <v>268</v>
      </c>
      <c r="J56" s="107">
        <v>4.59</v>
      </c>
      <c r="K56" s="104">
        <v>1.47</v>
      </c>
      <c r="L56" s="105" t="b">
        <v>1</v>
      </c>
      <c r="M56" s="97"/>
      <c r="N56" s="106"/>
      <c r="O56" s="97"/>
      <c r="P56" s="106"/>
      <c r="Q56" s="97"/>
      <c r="R56" s="97"/>
      <c r="S56" s="97"/>
      <c r="T56" s="97"/>
      <c r="U56" s="97"/>
      <c r="V56" s="97"/>
      <c r="W56" s="97"/>
    </row>
    <row r="57" spans="1:23" ht="13" thickBot="1">
      <c r="A57" s="97" t="s">
        <v>269</v>
      </c>
      <c r="B57" s="97"/>
      <c r="C57" s="104">
        <v>32</v>
      </c>
      <c r="D57" s="107">
        <v>4.72</v>
      </c>
      <c r="E57" s="104">
        <v>100</v>
      </c>
      <c r="F57" s="104">
        <v>1</v>
      </c>
      <c r="G57" s="108" t="s">
        <v>270</v>
      </c>
      <c r="H57" s="97" t="s">
        <v>79</v>
      </c>
      <c r="I57" s="98" t="s">
        <v>271</v>
      </c>
      <c r="J57" s="107">
        <v>4.72</v>
      </c>
      <c r="K57" s="104">
        <v>1.51</v>
      </c>
      <c r="L57" s="105" t="b">
        <v>1</v>
      </c>
      <c r="M57" s="97"/>
      <c r="N57" s="106"/>
      <c r="O57" s="97"/>
      <c r="P57" s="106"/>
      <c r="Q57" s="97"/>
      <c r="R57" s="97"/>
      <c r="S57" s="97"/>
      <c r="T57" s="97"/>
      <c r="U57" s="97"/>
      <c r="V57" s="97"/>
      <c r="W57" s="97"/>
    </row>
    <row r="58" spans="1:23" ht="13" thickBot="1">
      <c r="A58" s="97" t="s">
        <v>272</v>
      </c>
      <c r="B58" s="104" t="s">
        <v>266</v>
      </c>
      <c r="C58" s="104">
        <v>32</v>
      </c>
      <c r="D58" s="107">
        <v>11.48</v>
      </c>
      <c r="E58" s="104">
        <v>5</v>
      </c>
      <c r="F58" s="104">
        <v>7</v>
      </c>
      <c r="G58" s="101" t="s">
        <v>273</v>
      </c>
      <c r="H58" s="97" t="s">
        <v>79</v>
      </c>
      <c r="I58" s="98" t="s">
        <v>274</v>
      </c>
      <c r="J58" s="107">
        <v>80.36</v>
      </c>
      <c r="K58" s="104">
        <v>73.47</v>
      </c>
      <c r="L58" s="105" t="b">
        <v>1</v>
      </c>
      <c r="M58" s="97"/>
      <c r="N58" s="106"/>
      <c r="O58" s="97"/>
      <c r="P58" s="106"/>
      <c r="Q58" s="97"/>
      <c r="R58" s="97"/>
      <c r="S58" s="97"/>
      <c r="T58" s="97"/>
      <c r="U58" s="97"/>
      <c r="V58" s="97"/>
      <c r="W58" s="97"/>
    </row>
    <row r="59" spans="1:23" ht="13" thickBot="1">
      <c r="A59" s="97" t="s">
        <v>275</v>
      </c>
      <c r="B59" s="97" t="s">
        <v>276</v>
      </c>
      <c r="C59" s="104">
        <v>6</v>
      </c>
      <c r="D59" s="107">
        <v>11.89</v>
      </c>
      <c r="E59" s="104">
        <v>50</v>
      </c>
      <c r="F59" s="104">
        <v>1</v>
      </c>
      <c r="G59" s="101" t="s">
        <v>277</v>
      </c>
      <c r="H59" s="97" t="s">
        <v>79</v>
      </c>
      <c r="I59" s="98" t="s">
        <v>278</v>
      </c>
      <c r="J59" s="107">
        <v>11.89</v>
      </c>
      <c r="K59" s="104">
        <v>1.43</v>
      </c>
      <c r="L59" s="105" t="b">
        <v>1</v>
      </c>
      <c r="M59" s="97"/>
      <c r="N59" s="106"/>
      <c r="O59" s="97"/>
      <c r="P59" s="106"/>
      <c r="Q59" s="97"/>
      <c r="R59" s="97"/>
      <c r="S59" s="97"/>
      <c r="T59" s="97"/>
      <c r="U59" s="97"/>
      <c r="V59" s="97"/>
      <c r="W59" s="97"/>
    </row>
    <row r="60" spans="1:23" ht="13" thickBot="1">
      <c r="A60" s="97" t="s">
        <v>279</v>
      </c>
      <c r="B60" s="97" t="s">
        <v>276</v>
      </c>
      <c r="C60" s="104">
        <v>6</v>
      </c>
      <c r="D60" s="107">
        <v>3.56</v>
      </c>
      <c r="E60" s="104">
        <v>100</v>
      </c>
      <c r="F60" s="104">
        <v>1</v>
      </c>
      <c r="G60" s="101" t="s">
        <v>280</v>
      </c>
      <c r="H60" s="97" t="s">
        <v>79</v>
      </c>
      <c r="I60" s="98" t="s">
        <v>281</v>
      </c>
      <c r="J60" s="107">
        <v>3.56</v>
      </c>
      <c r="K60" s="104">
        <v>0.21</v>
      </c>
      <c r="L60" s="105" t="b">
        <v>1</v>
      </c>
      <c r="M60" s="97"/>
      <c r="N60" s="106"/>
      <c r="O60" s="97"/>
      <c r="P60" s="106"/>
      <c r="Q60" s="97"/>
      <c r="R60" s="97"/>
      <c r="S60" s="97"/>
      <c r="T60" s="97"/>
      <c r="U60" s="97"/>
      <c r="V60" s="97"/>
      <c r="W60" s="97"/>
    </row>
    <row r="61" spans="1:23" ht="13" thickBot="1">
      <c r="A61" s="97"/>
      <c r="B61" s="97"/>
      <c r="C61" s="97"/>
      <c r="D61" s="97"/>
      <c r="E61" s="97"/>
      <c r="F61" s="105" t="e">
        <v>#DIV/0!</v>
      </c>
      <c r="G61" s="97"/>
      <c r="H61" s="97"/>
      <c r="I61" s="97"/>
      <c r="J61" s="105" t="e">
        <v>#DIV/0!</v>
      </c>
      <c r="K61" s="97"/>
      <c r="L61" s="105" t="b">
        <v>0</v>
      </c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</row>
    <row r="62" spans="1:23" ht="13" thickBot="1">
      <c r="A62" s="97" t="s">
        <v>282</v>
      </c>
      <c r="B62" s="97" t="s">
        <v>283</v>
      </c>
      <c r="C62" s="104">
        <v>3</v>
      </c>
      <c r="D62" s="103">
        <v>385</v>
      </c>
      <c r="E62" s="104">
        <v>1</v>
      </c>
      <c r="F62" s="104">
        <v>3</v>
      </c>
      <c r="G62" s="97" t="s">
        <v>284</v>
      </c>
      <c r="H62" s="97" t="s">
        <v>285</v>
      </c>
      <c r="I62" s="98" t="s">
        <v>286</v>
      </c>
      <c r="J62" s="103">
        <v>1155</v>
      </c>
      <c r="K62" s="104">
        <v>1155</v>
      </c>
      <c r="L62" s="105" t="b">
        <v>1</v>
      </c>
      <c r="M62" s="97"/>
      <c r="N62" s="115"/>
      <c r="O62" s="97"/>
      <c r="P62" s="97"/>
      <c r="Q62" s="97"/>
      <c r="R62" s="97"/>
      <c r="S62" s="97"/>
      <c r="T62" s="97"/>
      <c r="U62" s="97"/>
      <c r="V62" s="97"/>
      <c r="W62" s="97"/>
    </row>
    <row r="63" spans="1:23" ht="13" thickBot="1">
      <c r="A63" s="97" t="s">
        <v>288</v>
      </c>
      <c r="B63" s="97" t="s">
        <v>289</v>
      </c>
      <c r="C63" s="104">
        <v>1</v>
      </c>
      <c r="D63" s="107">
        <v>8.4700000000000006</v>
      </c>
      <c r="E63" s="104">
        <v>2</v>
      </c>
      <c r="F63" s="104">
        <v>1</v>
      </c>
      <c r="G63" s="97" t="s">
        <v>290</v>
      </c>
      <c r="H63" s="97" t="s">
        <v>79</v>
      </c>
      <c r="I63" s="98" t="s">
        <v>291</v>
      </c>
      <c r="J63" s="107">
        <v>8.4700000000000006</v>
      </c>
      <c r="K63" s="104">
        <v>4.24</v>
      </c>
      <c r="L63" s="105" t="b">
        <v>0</v>
      </c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</row>
    <row r="64" spans="1:23" ht="13" thickBot="1">
      <c r="A64" s="97" t="s">
        <v>292</v>
      </c>
      <c r="B64" s="97" t="s">
        <v>293</v>
      </c>
      <c r="C64" s="104">
        <v>24</v>
      </c>
      <c r="D64" s="107">
        <v>7.47</v>
      </c>
      <c r="E64" s="104">
        <v>100</v>
      </c>
      <c r="F64" s="104">
        <v>1</v>
      </c>
      <c r="G64" s="117" t="s">
        <v>294</v>
      </c>
      <c r="H64" s="97" t="s">
        <v>79</v>
      </c>
      <c r="I64" s="98" t="s">
        <v>295</v>
      </c>
      <c r="J64" s="107">
        <v>7.47</v>
      </c>
      <c r="K64" s="104">
        <v>1.79</v>
      </c>
      <c r="L64" s="105" t="b">
        <v>0</v>
      </c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</row>
    <row r="65" spans="1:23" ht="13" thickBot="1">
      <c r="A65" s="97" t="s">
        <v>296</v>
      </c>
      <c r="B65" s="97" t="s">
        <v>182</v>
      </c>
      <c r="C65" s="104">
        <v>12</v>
      </c>
      <c r="D65" s="118">
        <v>12.62</v>
      </c>
      <c r="E65" s="104">
        <v>100</v>
      </c>
      <c r="F65" s="104">
        <v>1</v>
      </c>
      <c r="G65" s="97" t="s">
        <v>297</v>
      </c>
      <c r="H65" s="97" t="s">
        <v>79</v>
      </c>
      <c r="I65" s="98" t="s">
        <v>298</v>
      </c>
      <c r="J65" s="107">
        <v>12.62</v>
      </c>
      <c r="K65" s="104">
        <v>1.51</v>
      </c>
      <c r="L65" s="105" t="b">
        <v>0</v>
      </c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</row>
    <row r="66" spans="1:23" ht="13.5" thickBot="1">
      <c r="A66" s="97" t="s">
        <v>299</v>
      </c>
      <c r="B66" s="97" t="s">
        <v>182</v>
      </c>
      <c r="C66" s="104">
        <v>12</v>
      </c>
      <c r="D66" s="107">
        <v>9.2200000000000006</v>
      </c>
      <c r="E66" s="104">
        <v>10</v>
      </c>
      <c r="F66" s="104">
        <v>2</v>
      </c>
      <c r="G66" s="119" t="s">
        <v>300</v>
      </c>
      <c r="H66" s="97" t="s">
        <v>79</v>
      </c>
      <c r="I66" s="98" t="s">
        <v>301</v>
      </c>
      <c r="J66" s="107">
        <v>18.440000000000001</v>
      </c>
      <c r="K66" s="104">
        <v>11.06</v>
      </c>
      <c r="L66" s="105" t="b">
        <v>0</v>
      </c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</row>
    <row r="67" spans="1:23" ht="16" thickBot="1">
      <c r="A67" s="120" t="s">
        <v>302</v>
      </c>
      <c r="B67" s="97" t="s">
        <v>182</v>
      </c>
      <c r="C67" s="104">
        <v>12</v>
      </c>
      <c r="D67" s="104">
        <v>11.72</v>
      </c>
      <c r="E67" s="104">
        <v>25</v>
      </c>
      <c r="F67" s="104">
        <v>1</v>
      </c>
      <c r="G67" s="97" t="s">
        <v>303</v>
      </c>
      <c r="H67" s="97" t="s">
        <v>79</v>
      </c>
      <c r="I67" s="99" t="s">
        <v>304</v>
      </c>
      <c r="J67" s="104">
        <v>11.72</v>
      </c>
      <c r="K67" s="104">
        <v>5.63</v>
      </c>
      <c r="L67" s="105" t="b">
        <v>0</v>
      </c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</row>
    <row r="68" spans="1:23" ht="13" thickBot="1">
      <c r="A68" s="97"/>
      <c r="B68" s="97"/>
      <c r="C68" s="97"/>
      <c r="D68" s="97"/>
      <c r="E68" s="97"/>
      <c r="F68" s="105" t="e">
        <v>#DIV/0!</v>
      </c>
      <c r="G68" s="97"/>
      <c r="H68" s="97"/>
      <c r="I68" s="97"/>
      <c r="J68" s="105" t="e">
        <v>#DIV/0!</v>
      </c>
      <c r="K68" s="97"/>
      <c r="L68" s="105" t="b">
        <v>0</v>
      </c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</row>
    <row r="69" spans="1:23" ht="13" thickBot="1">
      <c r="A69" s="97"/>
      <c r="B69" s="97"/>
      <c r="C69" s="97"/>
      <c r="D69" s="97"/>
      <c r="E69" s="97"/>
      <c r="F69" s="105" t="e">
        <v>#DIV/0!</v>
      </c>
      <c r="G69" s="97"/>
      <c r="H69" s="97"/>
      <c r="I69" s="97"/>
      <c r="J69" s="105" t="e">
        <v>#DIV/0!</v>
      </c>
      <c r="K69" s="97"/>
      <c r="L69" s="105" t="b">
        <v>0</v>
      </c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</row>
    <row r="70" spans="1:23" ht="13" thickBot="1">
      <c r="A70" s="97"/>
      <c r="B70" s="97"/>
      <c r="C70" s="97"/>
      <c r="D70" s="97"/>
      <c r="E70" s="97"/>
      <c r="F70" s="105" t="e">
        <v>#DIV/0!</v>
      </c>
      <c r="G70" s="97"/>
      <c r="H70" s="97"/>
      <c r="I70" s="97"/>
      <c r="J70" s="105" t="e">
        <v>#DIV/0!</v>
      </c>
      <c r="K70" s="97"/>
      <c r="L70" s="105" t="b">
        <v>0</v>
      </c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</row>
    <row r="71" spans="1:23" ht="13" thickBot="1">
      <c r="A71" s="97"/>
      <c r="B71" s="97"/>
      <c r="C71" s="97"/>
      <c r="D71" s="97"/>
      <c r="E71" s="97"/>
      <c r="F71" s="105" t="e">
        <v>#DIV/0!</v>
      </c>
      <c r="G71" s="97"/>
      <c r="H71" s="97"/>
      <c r="I71" s="97"/>
      <c r="J71" s="105" t="e">
        <v>#DIV/0!</v>
      </c>
      <c r="K71" s="97"/>
      <c r="L71" s="105" t="b">
        <v>0</v>
      </c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</row>
    <row r="72" spans="1:23" ht="13" thickBot="1">
      <c r="A72" s="97"/>
      <c r="B72" s="97"/>
      <c r="C72" s="97"/>
      <c r="D72" s="97"/>
      <c r="E72" s="97"/>
      <c r="F72" s="105" t="e">
        <v>#DIV/0!</v>
      </c>
      <c r="G72" s="97"/>
      <c r="H72" s="97"/>
      <c r="I72" s="97"/>
      <c r="J72" s="105" t="e">
        <v>#DIV/0!</v>
      </c>
      <c r="K72" s="97"/>
      <c r="L72" s="105" t="b">
        <v>0</v>
      </c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</row>
    <row r="73" spans="1:23" ht="13" thickBot="1">
      <c r="A73" s="97"/>
      <c r="B73" s="97"/>
      <c r="C73" s="97"/>
      <c r="D73" s="97"/>
      <c r="E73" s="97"/>
      <c r="F73" s="105" t="e">
        <v>#DIV/0!</v>
      </c>
      <c r="G73" s="97"/>
      <c r="H73" s="97"/>
      <c r="I73" s="97" t="s">
        <v>140</v>
      </c>
      <c r="J73" s="105" t="e">
        <v>#REF!</v>
      </c>
      <c r="K73" s="105" t="e">
        <v>#REF!</v>
      </c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</row>
    <row r="74" spans="1:23" ht="13" thickBot="1">
      <c r="A74" s="97"/>
      <c r="B74" s="97"/>
      <c r="C74" s="97"/>
      <c r="D74" s="97"/>
      <c r="E74" s="97"/>
      <c r="F74" s="105" t="e">
        <v>#DIV/0!</v>
      </c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</row>
    <row r="75" spans="1:23" ht="13" thickBot="1">
      <c r="A75" s="97"/>
      <c r="B75" s="97"/>
      <c r="C75" s="97"/>
      <c r="D75" s="97"/>
      <c r="E75" s="97"/>
      <c r="F75" s="105" t="e">
        <v>#DIV/0!</v>
      </c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</row>
    <row r="76" spans="1:23" ht="13" thickBot="1">
      <c r="A76" s="101" t="s">
        <v>305</v>
      </c>
      <c r="B76" s="97" t="s">
        <v>185</v>
      </c>
      <c r="C76" s="104">
        <v>1</v>
      </c>
      <c r="D76" s="107">
        <v>16.809999999999999</v>
      </c>
      <c r="E76" s="104">
        <v>1</v>
      </c>
      <c r="F76" s="104">
        <v>1</v>
      </c>
      <c r="G76" s="101" t="s">
        <v>306</v>
      </c>
      <c r="H76" s="97" t="s">
        <v>307</v>
      </c>
      <c r="I76" s="98" t="s">
        <v>308</v>
      </c>
      <c r="J76" s="107">
        <v>16.809999999999999</v>
      </c>
      <c r="K76" s="104">
        <v>16.809999999999999</v>
      </c>
      <c r="L76" s="105" t="b">
        <v>1</v>
      </c>
      <c r="M76" s="97" t="s">
        <v>157</v>
      </c>
      <c r="N76" s="115">
        <v>44426</v>
      </c>
      <c r="O76" s="97" t="s">
        <v>309</v>
      </c>
      <c r="P76" s="115">
        <v>44427</v>
      </c>
      <c r="Q76" s="97" t="s">
        <v>287</v>
      </c>
      <c r="R76" s="97"/>
      <c r="S76" s="97"/>
      <c r="T76" s="97"/>
      <c r="U76" s="97"/>
      <c r="V76" s="97"/>
      <c r="W76" s="97"/>
    </row>
    <row r="77" spans="1:23" ht="13" thickBot="1">
      <c r="A77" s="97"/>
      <c r="B77" s="97"/>
      <c r="C77" s="97"/>
      <c r="D77" s="97"/>
      <c r="E77" s="97"/>
      <c r="F77" s="97"/>
      <c r="G77" s="101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</row>
    <row r="78" spans="1:23" ht="13" thickBot="1">
      <c r="A78" s="97"/>
      <c r="B78" s="97"/>
      <c r="C78" s="97"/>
      <c r="D78" s="97"/>
      <c r="E78" s="97"/>
      <c r="F78" s="97"/>
      <c r="G78" s="101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</row>
    <row r="79" spans="1:23" ht="13" thickBot="1">
      <c r="A79" s="97"/>
      <c r="B79" s="97"/>
      <c r="C79" s="97"/>
      <c r="D79" s="97"/>
      <c r="E79" s="97"/>
      <c r="F79" s="97"/>
      <c r="G79" s="101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</row>
    <row r="80" spans="1:23" ht="13" thickBot="1">
      <c r="A80" s="97"/>
      <c r="B80" s="97"/>
      <c r="C80" s="97"/>
      <c r="D80" s="97"/>
      <c r="E80" s="97"/>
      <c r="F80" s="97"/>
      <c r="G80" s="101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</row>
    <row r="81" spans="1:23" ht="13" thickBot="1">
      <c r="A81" s="97"/>
      <c r="B81" s="97"/>
      <c r="C81" s="97"/>
      <c r="D81" s="97"/>
      <c r="E81" s="97"/>
      <c r="F81" s="97"/>
      <c r="G81" s="101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</row>
    <row r="82" spans="1:23" ht="13" thickBot="1">
      <c r="A82" s="97"/>
      <c r="B82" s="97"/>
      <c r="C82" s="97"/>
      <c r="D82" s="97"/>
      <c r="E82" s="97"/>
      <c r="F82" s="97"/>
      <c r="G82" s="101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</row>
    <row r="83" spans="1:23" ht="13" thickBot="1">
      <c r="A83" s="97"/>
      <c r="B83" s="97"/>
      <c r="C83" s="97"/>
      <c r="D83" s="97"/>
      <c r="E83" s="97"/>
      <c r="F83" s="97"/>
      <c r="G83" s="101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</row>
    <row r="84" spans="1:23" ht="13" thickBot="1">
      <c r="A84" s="97"/>
      <c r="B84" s="97"/>
      <c r="C84" s="97"/>
      <c r="D84" s="97"/>
      <c r="E84" s="97"/>
      <c r="F84" s="97"/>
      <c r="G84" s="101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</row>
    <row r="85" spans="1:23" ht="13" thickBot="1">
      <c r="A85" s="97"/>
      <c r="B85" s="97"/>
      <c r="C85" s="97"/>
      <c r="D85" s="97"/>
      <c r="E85" s="97"/>
      <c r="F85" s="97"/>
      <c r="G85" s="101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</row>
    <row r="86" spans="1:23" ht="13" thickBot="1">
      <c r="A86" s="97"/>
      <c r="B86" s="97"/>
      <c r="C86" s="97"/>
      <c r="D86" s="97"/>
      <c r="E86" s="97"/>
      <c r="F86" s="97"/>
      <c r="G86" s="101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</row>
    <row r="87" spans="1:23" ht="13" thickBot="1">
      <c r="A87" s="97"/>
      <c r="B87" s="97"/>
      <c r="C87" s="97"/>
      <c r="D87" s="97"/>
      <c r="E87" s="97"/>
      <c r="F87" s="97"/>
      <c r="G87" s="101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</row>
    <row r="88" spans="1:23" ht="13" thickBot="1">
      <c r="A88" s="97"/>
      <c r="B88" s="97"/>
      <c r="C88" s="97"/>
      <c r="D88" s="97"/>
      <c r="E88" s="97"/>
      <c r="F88" s="97"/>
      <c r="G88" s="101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</row>
    <row r="89" spans="1:23" ht="13" thickBot="1">
      <c r="A89" s="97"/>
      <c r="B89" s="97"/>
      <c r="C89" s="97"/>
      <c r="D89" s="97"/>
      <c r="E89" s="97"/>
      <c r="F89" s="97"/>
      <c r="G89" s="101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</row>
    <row r="90" spans="1:23" ht="13" thickBot="1">
      <c r="A90" s="97"/>
      <c r="B90" s="97"/>
      <c r="C90" s="97"/>
      <c r="D90" s="97"/>
      <c r="E90" s="97"/>
      <c r="F90" s="97"/>
      <c r="G90" s="101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</row>
    <row r="91" spans="1:23" ht="13" thickBot="1">
      <c r="A91" s="97"/>
      <c r="B91" s="97"/>
      <c r="C91" s="97"/>
      <c r="D91" s="97"/>
      <c r="E91" s="97"/>
      <c r="F91" s="97"/>
      <c r="G91" s="101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</row>
    <row r="92" spans="1:23" ht="13" thickBot="1">
      <c r="A92" s="97"/>
      <c r="B92" s="97"/>
      <c r="C92" s="97"/>
      <c r="D92" s="97"/>
      <c r="E92" s="97"/>
      <c r="F92" s="97"/>
      <c r="G92" s="101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</row>
    <row r="93" spans="1:23" ht="13" thickBot="1">
      <c r="A93" s="97"/>
      <c r="B93" s="97"/>
      <c r="C93" s="97"/>
      <c r="D93" s="97"/>
      <c r="E93" s="97"/>
      <c r="F93" s="97"/>
      <c r="G93" s="101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</row>
    <row r="94" spans="1:23" ht="13" thickBot="1">
      <c r="A94" s="97"/>
      <c r="B94" s="97"/>
      <c r="C94" s="97"/>
      <c r="D94" s="97"/>
      <c r="E94" s="97"/>
      <c r="F94" s="97"/>
      <c r="G94" s="101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</row>
    <row r="95" spans="1:23" ht="13" thickBot="1">
      <c r="A95" s="97"/>
      <c r="B95" s="97"/>
      <c r="C95" s="97"/>
      <c r="D95" s="97"/>
      <c r="E95" s="97"/>
      <c r="F95" s="97"/>
      <c r="G95" s="101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</row>
    <row r="96" spans="1:23" ht="13" thickBot="1">
      <c r="A96" s="97"/>
      <c r="B96" s="97"/>
      <c r="C96" s="97"/>
      <c r="D96" s="97"/>
      <c r="E96" s="97"/>
      <c r="F96" s="97"/>
      <c r="G96" s="101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</row>
    <row r="97" spans="1:23" ht="13" thickBot="1">
      <c r="A97" s="97"/>
      <c r="B97" s="97"/>
      <c r="C97" s="97"/>
      <c r="D97" s="97"/>
      <c r="E97" s="97"/>
      <c r="F97" s="97"/>
      <c r="G97" s="101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</row>
    <row r="98" spans="1:23" ht="13" thickBot="1">
      <c r="A98" s="97"/>
      <c r="B98" s="97"/>
      <c r="C98" s="97"/>
      <c r="D98" s="97"/>
      <c r="E98" s="97"/>
      <c r="F98" s="97"/>
      <c r="G98" s="101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</row>
    <row r="99" spans="1:23" ht="13" thickBot="1">
      <c r="A99" s="97"/>
      <c r="B99" s="97"/>
      <c r="C99" s="97"/>
      <c r="D99" s="97"/>
      <c r="E99" s="97"/>
      <c r="F99" s="97"/>
      <c r="G99" s="101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</row>
    <row r="100" spans="1:23" ht="13" thickBot="1">
      <c r="A100" s="97"/>
      <c r="B100" s="97"/>
      <c r="C100" s="97"/>
      <c r="D100" s="97"/>
      <c r="E100" s="97"/>
      <c r="F100" s="97"/>
      <c r="G100" s="101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</row>
    <row r="101" spans="1:23" ht="13" thickBot="1">
      <c r="A101" s="97"/>
      <c r="B101" s="97"/>
      <c r="C101" s="97"/>
      <c r="D101" s="97"/>
      <c r="E101" s="97"/>
      <c r="F101" s="97"/>
      <c r="G101" s="101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</row>
    <row r="102" spans="1:23" ht="13" thickBot="1">
      <c r="A102" s="97"/>
      <c r="B102" s="97"/>
      <c r="C102" s="97"/>
      <c r="D102" s="97"/>
      <c r="E102" s="97"/>
      <c r="F102" s="97"/>
      <c r="G102" s="101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</row>
    <row r="103" spans="1:23" ht="13" thickBot="1">
      <c r="A103" s="97"/>
      <c r="B103" s="97"/>
      <c r="C103" s="97"/>
      <c r="D103" s="97"/>
      <c r="E103" s="97"/>
      <c r="F103" s="97"/>
      <c r="G103" s="101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</row>
    <row r="104" spans="1:23" ht="13" thickBot="1">
      <c r="A104" s="97"/>
      <c r="B104" s="97"/>
      <c r="C104" s="97"/>
      <c r="D104" s="97"/>
      <c r="E104" s="97"/>
      <c r="F104" s="97"/>
      <c r="G104" s="101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</row>
    <row r="105" spans="1:23" ht="13" thickBot="1">
      <c r="A105" s="97"/>
      <c r="B105" s="97"/>
      <c r="C105" s="97"/>
      <c r="D105" s="97"/>
      <c r="E105" s="97"/>
      <c r="F105" s="97"/>
      <c r="G105" s="101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</row>
    <row r="106" spans="1:23" ht="13" thickBot="1">
      <c r="A106" s="97"/>
      <c r="B106" s="97"/>
      <c r="C106" s="97"/>
      <c r="D106" s="97"/>
      <c r="E106" s="97"/>
      <c r="F106" s="97"/>
      <c r="G106" s="101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</row>
    <row r="107" spans="1:23" ht="13" thickBot="1">
      <c r="A107" s="97"/>
      <c r="B107" s="97"/>
      <c r="C107" s="97"/>
      <c r="D107" s="97"/>
      <c r="E107" s="97"/>
      <c r="F107" s="97"/>
      <c r="G107" s="101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</row>
    <row r="108" spans="1:23" ht="13" thickBot="1">
      <c r="A108" s="97"/>
      <c r="B108" s="97"/>
      <c r="C108" s="97"/>
      <c r="D108" s="97"/>
      <c r="E108" s="97"/>
      <c r="F108" s="97"/>
      <c r="G108" s="101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</row>
    <row r="109" spans="1:23" ht="13" thickBot="1">
      <c r="A109" s="97"/>
      <c r="B109" s="97"/>
      <c r="C109" s="97"/>
      <c r="D109" s="97"/>
      <c r="E109" s="97"/>
      <c r="F109" s="97"/>
      <c r="G109" s="101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</row>
    <row r="110" spans="1:23" ht="13" thickBot="1">
      <c r="A110" s="97"/>
      <c r="B110" s="97"/>
      <c r="C110" s="97"/>
      <c r="D110" s="97"/>
      <c r="E110" s="97"/>
      <c r="F110" s="97"/>
      <c r="G110" s="101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</row>
    <row r="111" spans="1:23" ht="13" thickBot="1">
      <c r="A111" s="97"/>
      <c r="B111" s="97"/>
      <c r="C111" s="97"/>
      <c r="D111" s="97"/>
      <c r="E111" s="97"/>
      <c r="F111" s="97"/>
      <c r="G111" s="101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</row>
    <row r="112" spans="1:23" ht="13" thickBot="1">
      <c r="A112" s="97"/>
      <c r="B112" s="97"/>
      <c r="C112" s="97"/>
      <c r="D112" s="97"/>
      <c r="E112" s="97"/>
      <c r="F112" s="97"/>
      <c r="G112" s="101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</row>
    <row r="113" spans="1:23" ht="13" thickBot="1">
      <c r="A113" s="97"/>
      <c r="B113" s="97"/>
      <c r="C113" s="97"/>
      <c r="D113" s="97"/>
      <c r="E113" s="97"/>
      <c r="F113" s="97"/>
      <c r="G113" s="101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</row>
    <row r="114" spans="1:23" ht="13" thickBot="1">
      <c r="A114" s="97"/>
      <c r="B114" s="97"/>
      <c r="C114" s="97"/>
      <c r="D114" s="97"/>
      <c r="E114" s="97"/>
      <c r="F114" s="97"/>
      <c r="G114" s="101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</row>
    <row r="115" spans="1:23" ht="13" thickBot="1">
      <c r="A115" s="97"/>
      <c r="B115" s="97"/>
      <c r="C115" s="97"/>
      <c r="D115" s="97"/>
      <c r="E115" s="97"/>
      <c r="F115" s="97"/>
      <c r="G115" s="101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</row>
    <row r="116" spans="1:23" ht="13" thickBot="1">
      <c r="A116" s="97"/>
      <c r="B116" s="97"/>
      <c r="C116" s="97"/>
      <c r="D116" s="97"/>
      <c r="E116" s="97"/>
      <c r="F116" s="97"/>
      <c r="G116" s="101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</row>
    <row r="117" spans="1:23" ht="13" thickBot="1">
      <c r="A117" s="97"/>
      <c r="B117" s="97"/>
      <c r="C117" s="97"/>
      <c r="D117" s="97"/>
      <c r="E117" s="97"/>
      <c r="F117" s="97"/>
      <c r="G117" s="101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</row>
    <row r="118" spans="1:23" ht="13" thickBot="1">
      <c r="A118" s="97"/>
      <c r="B118" s="97"/>
      <c r="C118" s="97"/>
      <c r="D118" s="97"/>
      <c r="E118" s="97"/>
      <c r="F118" s="97"/>
      <c r="G118" s="101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</row>
    <row r="119" spans="1:23" ht="13" thickBot="1">
      <c r="A119" s="97"/>
      <c r="B119" s="97"/>
      <c r="C119" s="97"/>
      <c r="D119" s="97"/>
      <c r="E119" s="97"/>
      <c r="F119" s="97"/>
      <c r="G119" s="101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</row>
    <row r="120" spans="1:23" ht="13" thickBot="1">
      <c r="A120" s="97"/>
      <c r="B120" s="97"/>
      <c r="C120" s="97"/>
      <c r="D120" s="97"/>
      <c r="E120" s="97"/>
      <c r="F120" s="97"/>
      <c r="G120" s="101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</row>
    <row r="121" spans="1:23" ht="13" thickBot="1">
      <c r="A121" s="97"/>
      <c r="B121" s="97"/>
      <c r="C121" s="97"/>
      <c r="D121" s="97"/>
      <c r="E121" s="97"/>
      <c r="F121" s="97"/>
      <c r="G121" s="101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</row>
    <row r="122" spans="1:23" ht="13" thickBot="1">
      <c r="A122" s="97"/>
      <c r="B122" s="97"/>
      <c r="C122" s="97"/>
      <c r="D122" s="97"/>
      <c r="E122" s="97"/>
      <c r="F122" s="97"/>
      <c r="G122" s="101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</row>
    <row r="123" spans="1:23" ht="13" thickBot="1">
      <c r="A123" s="97"/>
      <c r="B123" s="97"/>
      <c r="C123" s="97"/>
      <c r="D123" s="97"/>
      <c r="E123" s="97"/>
      <c r="F123" s="97"/>
      <c r="G123" s="101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</row>
    <row r="124" spans="1:23" ht="13" thickBot="1">
      <c r="A124" s="97"/>
      <c r="B124" s="97"/>
      <c r="C124" s="97"/>
      <c r="D124" s="97"/>
      <c r="E124" s="97"/>
      <c r="F124" s="97"/>
      <c r="G124" s="101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</row>
    <row r="125" spans="1:23" ht="13" thickBot="1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</row>
    <row r="126" spans="1:23" ht="13" thickBot="1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</row>
    <row r="127" spans="1:23" ht="13" thickBot="1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</row>
    <row r="128" spans="1:23" ht="13" thickBot="1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</row>
    <row r="129" spans="1:23" ht="13" thickBot="1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</row>
    <row r="130" spans="1:23" ht="13" thickBot="1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</row>
    <row r="131" spans="1:23" ht="13" thickBot="1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</row>
    <row r="132" spans="1:23" ht="13" thickBot="1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</row>
    <row r="133" spans="1:23" ht="13" thickBot="1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</row>
    <row r="134" spans="1:23" ht="13" thickBot="1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</row>
    <row r="135" spans="1:23" ht="13" thickBot="1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</row>
    <row r="136" spans="1:23" ht="13" thickBot="1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</row>
    <row r="137" spans="1:23" ht="13" thickBot="1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</row>
    <row r="138" spans="1:23" ht="13" thickBot="1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</row>
    <row r="139" spans="1:23" ht="13" thickBot="1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</row>
    <row r="140" spans="1:23" ht="13" thickBot="1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</row>
    <row r="141" spans="1:23" ht="13" thickBot="1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</row>
    <row r="142" spans="1:23" ht="13" thickBot="1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</row>
    <row r="143" spans="1:23" ht="13" thickBot="1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</row>
    <row r="144" spans="1:23" ht="13" thickBot="1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</row>
    <row r="145" spans="1:23" ht="13" thickBot="1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</row>
    <row r="146" spans="1:23" ht="13" thickBot="1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</row>
    <row r="147" spans="1:23" ht="13" thickBot="1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</row>
    <row r="148" spans="1:23" ht="13" thickBot="1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</row>
    <row r="149" spans="1:23" ht="13" thickBot="1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</row>
    <row r="150" spans="1:23" ht="13" thickBot="1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</row>
    <row r="151" spans="1:23" ht="13" thickBot="1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</row>
    <row r="152" spans="1:23" ht="13" thickBot="1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</row>
    <row r="153" spans="1:23" ht="13" thickBot="1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</row>
    <row r="154" spans="1:23" ht="13" thickBot="1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</row>
    <row r="155" spans="1:23" ht="13" thickBot="1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</row>
    <row r="156" spans="1:23" ht="13" thickBot="1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</row>
    <row r="157" spans="1:23" ht="13" thickBot="1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</row>
    <row r="158" spans="1:23" ht="13" thickBot="1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</row>
    <row r="159" spans="1:23" ht="13" thickBot="1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</row>
    <row r="160" spans="1:23" ht="13" thickBot="1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</row>
    <row r="161" spans="1:23" ht="13" thickBot="1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</row>
    <row r="162" spans="1:23" ht="13" thickBot="1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</row>
    <row r="163" spans="1:23" ht="13" thickBot="1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</row>
    <row r="164" spans="1:23" ht="13" thickBot="1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</row>
    <row r="165" spans="1:23" ht="13" thickBot="1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</row>
    <row r="166" spans="1:23" ht="13" thickBot="1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</row>
    <row r="167" spans="1:23" ht="13" thickBot="1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</row>
    <row r="168" spans="1:23" ht="13" thickBot="1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</row>
    <row r="169" spans="1:23" ht="13" thickBot="1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</row>
    <row r="170" spans="1:23" ht="13" thickBot="1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</row>
    <row r="171" spans="1:23" ht="13" thickBot="1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</row>
    <row r="172" spans="1:23" ht="13" thickBot="1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</row>
    <row r="173" spans="1:23" ht="13" thickBot="1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</row>
    <row r="174" spans="1:23" ht="13" thickBot="1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</row>
    <row r="175" spans="1:23" ht="13" thickBot="1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</row>
    <row r="176" spans="1:23" ht="13" thickBot="1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</row>
    <row r="177" spans="1:23" ht="13" thickBot="1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</row>
    <row r="178" spans="1:23" ht="13" thickBot="1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</row>
    <row r="179" spans="1:23" ht="13" thickBot="1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</row>
    <row r="180" spans="1:23" ht="13" thickBot="1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</row>
    <row r="181" spans="1:23" ht="13" thickBot="1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</row>
    <row r="182" spans="1:23" ht="13" thickBot="1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</row>
    <row r="183" spans="1:23" ht="13" thickBot="1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</row>
    <row r="184" spans="1:23" ht="13" thickBot="1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</row>
    <row r="185" spans="1:23" ht="13" thickBot="1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</row>
    <row r="186" spans="1:23" ht="13" thickBot="1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</row>
    <row r="187" spans="1:23" ht="13" thickBot="1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</row>
    <row r="188" spans="1:23" ht="13" thickBot="1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</row>
    <row r="189" spans="1:23" ht="13" thickBot="1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</row>
    <row r="190" spans="1:23" ht="13" thickBot="1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</row>
    <row r="191" spans="1:23" ht="13" thickBot="1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</row>
    <row r="192" spans="1:23" ht="13" thickBot="1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</row>
    <row r="193" spans="1:23" ht="13" thickBot="1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</row>
    <row r="194" spans="1:23" ht="13" thickBot="1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</row>
    <row r="195" spans="1:23" ht="13" thickBot="1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</row>
    <row r="196" spans="1:23" ht="13" thickBot="1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</row>
    <row r="197" spans="1:23" ht="13" thickBot="1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</row>
    <row r="198" spans="1:23" ht="13" thickBot="1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</row>
    <row r="199" spans="1:23" ht="13" thickBot="1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</row>
    <row r="200" spans="1:23" ht="13" thickBot="1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</row>
    <row r="201" spans="1:23" ht="13" thickBot="1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</row>
    <row r="202" spans="1:23" ht="13" thickBot="1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</row>
    <row r="203" spans="1:23" ht="13" thickBot="1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</row>
    <row r="204" spans="1:23" ht="13" thickBot="1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</row>
    <row r="205" spans="1:23" ht="13" thickBot="1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</row>
    <row r="206" spans="1:23" ht="13" thickBot="1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</row>
    <row r="207" spans="1:23" ht="13" thickBot="1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</row>
    <row r="208" spans="1:23" ht="13" thickBot="1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</row>
    <row r="209" spans="1:23" ht="13" thickBot="1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</row>
    <row r="210" spans="1:23" ht="13" thickBot="1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</row>
    <row r="211" spans="1:23" ht="13" thickBot="1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</row>
    <row r="212" spans="1:23" ht="13" thickBot="1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</row>
    <row r="213" spans="1:23" ht="13" thickBot="1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</row>
    <row r="214" spans="1:23" ht="13" thickBot="1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</row>
    <row r="215" spans="1:23" ht="13" thickBot="1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</row>
    <row r="216" spans="1:23" ht="13" thickBot="1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</row>
    <row r="217" spans="1:23" ht="13" thickBot="1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</row>
    <row r="218" spans="1:23" ht="13" thickBot="1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</row>
    <row r="219" spans="1:23" ht="13" thickBot="1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</row>
    <row r="220" spans="1:23" ht="13" thickBot="1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</row>
    <row r="221" spans="1:23" ht="13" thickBot="1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</row>
    <row r="222" spans="1:23" ht="13" thickBot="1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</row>
    <row r="223" spans="1:23" ht="13" thickBot="1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</row>
    <row r="224" spans="1:23" ht="13" thickBot="1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</row>
    <row r="225" spans="1:23" ht="13" thickBot="1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</row>
    <row r="226" spans="1:23" ht="13" thickBot="1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</row>
    <row r="227" spans="1:23" ht="13" thickBot="1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</row>
    <row r="228" spans="1:23" ht="13" thickBot="1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</row>
    <row r="229" spans="1:23" ht="13" thickBot="1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</row>
    <row r="230" spans="1:23" ht="13" thickBot="1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</row>
    <row r="231" spans="1:23" ht="13" thickBot="1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</row>
    <row r="232" spans="1:23" ht="13" thickBot="1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</row>
    <row r="233" spans="1:23" ht="13" thickBot="1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</row>
    <row r="234" spans="1:23" ht="13" thickBot="1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</row>
    <row r="235" spans="1:23" ht="13" thickBot="1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</row>
    <row r="236" spans="1:23" ht="13" thickBot="1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</row>
    <row r="237" spans="1:23" ht="13" thickBot="1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</row>
    <row r="238" spans="1:23" ht="13" thickBot="1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</row>
    <row r="239" spans="1:23" ht="13" thickBot="1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</row>
    <row r="240" spans="1:23" ht="13" thickBot="1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</row>
    <row r="241" spans="1:23" ht="13" thickBot="1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</row>
    <row r="242" spans="1:23" ht="13" thickBot="1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</row>
    <row r="243" spans="1:23" ht="13" thickBot="1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</row>
    <row r="244" spans="1:23" ht="13" thickBot="1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</row>
    <row r="245" spans="1:23" ht="13" thickBot="1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</row>
    <row r="246" spans="1:23" ht="13" thickBot="1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</row>
    <row r="247" spans="1:23" ht="13" thickBot="1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</row>
    <row r="248" spans="1:23" ht="13" thickBot="1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</row>
    <row r="249" spans="1:23" ht="13" thickBot="1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</row>
    <row r="250" spans="1:23" ht="13" thickBot="1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</row>
    <row r="251" spans="1:23" ht="13" thickBot="1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</row>
    <row r="252" spans="1:23" ht="13" thickBot="1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</row>
    <row r="253" spans="1:23" ht="13" thickBot="1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</row>
    <row r="254" spans="1:23" ht="13" thickBot="1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</row>
    <row r="255" spans="1:23" ht="13" thickBot="1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</row>
    <row r="256" spans="1:23" ht="13" thickBot="1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</row>
    <row r="257" spans="1:23" ht="13" thickBot="1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</row>
    <row r="258" spans="1:23" ht="13" thickBot="1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</row>
    <row r="259" spans="1:23" ht="13" thickBot="1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</row>
    <row r="260" spans="1:23" ht="13" thickBot="1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</row>
    <row r="261" spans="1:23" ht="13" thickBot="1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</row>
    <row r="262" spans="1:23" ht="13" thickBot="1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</row>
    <row r="263" spans="1:23" ht="13" thickBot="1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</row>
    <row r="264" spans="1:23" ht="13" thickBot="1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</row>
    <row r="265" spans="1:23" ht="13" thickBot="1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</row>
    <row r="266" spans="1:23" ht="13" thickBot="1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</row>
    <row r="267" spans="1:23" ht="13" thickBot="1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</row>
    <row r="268" spans="1:23" ht="13" thickBot="1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</row>
    <row r="269" spans="1:23" ht="13" thickBot="1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</row>
    <row r="270" spans="1:23" ht="13" thickBot="1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</row>
    <row r="271" spans="1:23" ht="13" thickBot="1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</row>
    <row r="272" spans="1:23" ht="13" thickBot="1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</row>
    <row r="273" spans="1:23" ht="13" thickBot="1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</row>
    <row r="274" spans="1:23" ht="13" thickBot="1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</row>
    <row r="275" spans="1:23" ht="13" thickBot="1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</row>
    <row r="276" spans="1:23" ht="13" thickBot="1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</row>
    <row r="277" spans="1:23" ht="13" thickBot="1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</row>
    <row r="278" spans="1:23" ht="13" thickBot="1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</row>
    <row r="279" spans="1:23" ht="13" thickBot="1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</row>
    <row r="280" spans="1:23" ht="13" thickBot="1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</row>
    <row r="281" spans="1:23" ht="13" thickBot="1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</row>
    <row r="282" spans="1:23" ht="13" thickBot="1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</row>
    <row r="283" spans="1:23" ht="13" thickBot="1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</row>
    <row r="284" spans="1:23" ht="13" thickBot="1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</row>
    <row r="285" spans="1:23" ht="13" thickBot="1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</row>
    <row r="286" spans="1:23" ht="13" thickBot="1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</row>
    <row r="287" spans="1:23" ht="13" thickBot="1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</row>
    <row r="288" spans="1:23" ht="13" thickBot="1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</row>
    <row r="289" spans="1:23" ht="13" thickBot="1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</row>
    <row r="290" spans="1:23" ht="13" thickBot="1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</row>
    <row r="291" spans="1:23" ht="13" thickBot="1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</row>
    <row r="292" spans="1:23" ht="13" thickBot="1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</row>
    <row r="293" spans="1:23" ht="13" thickBot="1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</row>
    <row r="294" spans="1:23" ht="13" thickBot="1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</row>
    <row r="295" spans="1:23" ht="13" thickBot="1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</row>
    <row r="296" spans="1:23" ht="13" thickBot="1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</row>
    <row r="297" spans="1:23" ht="13" thickBot="1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</row>
    <row r="298" spans="1:23" ht="13" thickBot="1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</row>
    <row r="299" spans="1:23" ht="13" thickBot="1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</row>
    <row r="300" spans="1:23" ht="13" thickBot="1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</row>
    <row r="301" spans="1:23" ht="13" thickBot="1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</row>
    <row r="302" spans="1:23" ht="13" thickBot="1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</row>
    <row r="303" spans="1:23" ht="13" thickBot="1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</row>
    <row r="304" spans="1:23" ht="13" thickBot="1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</row>
    <row r="305" spans="1:23" ht="13" thickBot="1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</row>
    <row r="306" spans="1:23" ht="13" thickBot="1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</row>
    <row r="307" spans="1:23" ht="13" thickBot="1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</row>
    <row r="308" spans="1:23" ht="13" thickBot="1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</row>
    <row r="309" spans="1:23" ht="13" thickBot="1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</row>
    <row r="310" spans="1:23" ht="13" thickBot="1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</row>
    <row r="311" spans="1:23" ht="13" thickBot="1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</row>
    <row r="312" spans="1:23" ht="13" thickBot="1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</row>
    <row r="313" spans="1:23" ht="13" thickBot="1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</row>
    <row r="314" spans="1:23" ht="13" thickBot="1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</row>
    <row r="315" spans="1:23" ht="13" thickBot="1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</row>
    <row r="316" spans="1:23" ht="13" thickBot="1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</row>
    <row r="317" spans="1:23" ht="13" thickBot="1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</row>
    <row r="318" spans="1:23" ht="13" thickBot="1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</row>
    <row r="319" spans="1:23" ht="13" thickBot="1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</row>
    <row r="320" spans="1:23" ht="13" thickBot="1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</row>
    <row r="321" spans="1:23" ht="13" thickBot="1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</row>
    <row r="322" spans="1:23" ht="13" thickBot="1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</row>
    <row r="323" spans="1:23" ht="13" thickBot="1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</row>
    <row r="324" spans="1:23" ht="13" thickBot="1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</row>
    <row r="325" spans="1:23" ht="13" thickBot="1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</row>
    <row r="326" spans="1:23" ht="13" thickBot="1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</row>
    <row r="327" spans="1:23" ht="13" thickBot="1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</row>
    <row r="328" spans="1:23" ht="13" thickBot="1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</row>
    <row r="329" spans="1:23" ht="13" thickBot="1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</row>
    <row r="330" spans="1:23" ht="13" thickBot="1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</row>
    <row r="331" spans="1:23" ht="13" thickBot="1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</row>
    <row r="332" spans="1:23" ht="13" thickBot="1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</row>
    <row r="333" spans="1:23" ht="13" thickBot="1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</row>
    <row r="334" spans="1:23" ht="13" thickBot="1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</row>
    <row r="335" spans="1:23" ht="13" thickBot="1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</row>
    <row r="336" spans="1:23" ht="13" thickBot="1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</row>
    <row r="337" spans="1:23" ht="13" thickBot="1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</row>
    <row r="338" spans="1:23" ht="13" thickBot="1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</row>
    <row r="339" spans="1:23" ht="13" thickBot="1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</row>
    <row r="340" spans="1:23" ht="13" thickBot="1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</row>
    <row r="341" spans="1:23" ht="13" thickBot="1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</row>
    <row r="342" spans="1:23" ht="13" thickBot="1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</row>
    <row r="343" spans="1:23" ht="13" thickBot="1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</row>
    <row r="344" spans="1:23" ht="13" thickBot="1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</row>
    <row r="345" spans="1:23" ht="13" thickBot="1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</row>
    <row r="346" spans="1:23" ht="13" thickBot="1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</row>
    <row r="347" spans="1:23" ht="13" thickBot="1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</row>
    <row r="348" spans="1:23" ht="13" thickBot="1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</row>
    <row r="349" spans="1:23" ht="13" thickBot="1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</row>
    <row r="350" spans="1:23" ht="13" thickBot="1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</row>
    <row r="351" spans="1:23" ht="13" thickBot="1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</row>
    <row r="352" spans="1:23" ht="13" thickBot="1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</row>
    <row r="353" spans="1:23" ht="13" thickBot="1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</row>
    <row r="354" spans="1:23" ht="13" thickBot="1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</row>
    <row r="355" spans="1:23" ht="13" thickBot="1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</row>
    <row r="356" spans="1:23" ht="13" thickBot="1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</row>
    <row r="357" spans="1:23" ht="13" thickBot="1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</row>
    <row r="358" spans="1:23" ht="13" thickBot="1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</row>
    <row r="359" spans="1:23" ht="13" thickBot="1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</row>
    <row r="360" spans="1:23" ht="13" thickBot="1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</row>
    <row r="361" spans="1:23" ht="13" thickBot="1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</row>
    <row r="362" spans="1:23" ht="13" thickBot="1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</row>
    <row r="363" spans="1:23" ht="13" thickBot="1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</row>
    <row r="364" spans="1:23" ht="13" thickBot="1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</row>
    <row r="365" spans="1:23" ht="13" thickBot="1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</row>
    <row r="366" spans="1:23" ht="13" thickBot="1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</row>
    <row r="367" spans="1:23" ht="13" thickBot="1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</row>
    <row r="368" spans="1:23" ht="13" thickBot="1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</row>
    <row r="369" spans="1:23" ht="13" thickBot="1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</row>
    <row r="370" spans="1:23" ht="13" thickBot="1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</row>
    <row r="371" spans="1:23" ht="13" thickBot="1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</row>
    <row r="372" spans="1:23" ht="13" thickBot="1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</row>
    <row r="373" spans="1:23" ht="13" thickBot="1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</row>
    <row r="374" spans="1:23" ht="13" thickBot="1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</row>
    <row r="375" spans="1:23" ht="13" thickBot="1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</row>
    <row r="376" spans="1:23" ht="13" thickBot="1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</row>
    <row r="377" spans="1:23" ht="13" thickBot="1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</row>
    <row r="378" spans="1:23" ht="13" thickBot="1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</row>
    <row r="379" spans="1:23" ht="13" thickBot="1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</row>
    <row r="380" spans="1:23" ht="13" thickBot="1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</row>
    <row r="381" spans="1:23" ht="13" thickBot="1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</row>
    <row r="382" spans="1:23" ht="13" thickBot="1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</row>
    <row r="383" spans="1:23" ht="13" thickBot="1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</row>
    <row r="384" spans="1:23" ht="13" thickBot="1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</row>
    <row r="385" spans="1:23" ht="13" thickBot="1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</row>
    <row r="386" spans="1:23" ht="13" thickBot="1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</row>
    <row r="387" spans="1:23" ht="13" thickBot="1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</row>
    <row r="388" spans="1:23" ht="13" thickBot="1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</row>
    <row r="389" spans="1:23" ht="13" thickBot="1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</row>
    <row r="390" spans="1:23" ht="13" thickBot="1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</row>
    <row r="391" spans="1:23" ht="13" thickBot="1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</row>
    <row r="392" spans="1:23" ht="13" thickBot="1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</row>
    <row r="393" spans="1:23" ht="13" thickBot="1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</row>
    <row r="394" spans="1:23" ht="13" thickBot="1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</row>
    <row r="395" spans="1:23" ht="13" thickBot="1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</row>
    <row r="396" spans="1:23" ht="13" thickBot="1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</row>
    <row r="397" spans="1:23" ht="13" thickBot="1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</row>
    <row r="398" spans="1:23" ht="13" thickBot="1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</row>
    <row r="399" spans="1:23" ht="13" thickBot="1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</row>
    <row r="400" spans="1:23" ht="13" thickBot="1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</row>
    <row r="401" spans="1:23" ht="13" thickBot="1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</row>
    <row r="402" spans="1:23" ht="13" thickBot="1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</row>
    <row r="403" spans="1:23" ht="13" thickBot="1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</row>
    <row r="404" spans="1:23" ht="13" thickBot="1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</row>
    <row r="405" spans="1:23" ht="13" thickBot="1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</row>
    <row r="406" spans="1:23" ht="13" thickBot="1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</row>
    <row r="407" spans="1:23" ht="13" thickBot="1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</row>
    <row r="408" spans="1:23" ht="13" thickBot="1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</row>
    <row r="409" spans="1:23" ht="13" thickBot="1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</row>
    <row r="410" spans="1:23" ht="13" thickBot="1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</row>
    <row r="411" spans="1:23" ht="13" thickBot="1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</row>
    <row r="412" spans="1:23" ht="13" thickBot="1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</row>
    <row r="413" spans="1:23" ht="13" thickBot="1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</row>
    <row r="414" spans="1:23" ht="13" thickBot="1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</row>
    <row r="415" spans="1:23" ht="13" thickBot="1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</row>
    <row r="416" spans="1:23" ht="13" thickBot="1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</row>
    <row r="417" spans="1:23" ht="13" thickBot="1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</row>
    <row r="418" spans="1:23" ht="13" thickBot="1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</row>
    <row r="419" spans="1:23" ht="13" thickBot="1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</row>
    <row r="420" spans="1:23" ht="13" thickBot="1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</row>
    <row r="421" spans="1:23" ht="13" thickBot="1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</row>
    <row r="422" spans="1:23" ht="13" thickBot="1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</row>
    <row r="423" spans="1:23" ht="13" thickBot="1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</row>
    <row r="424" spans="1:23" ht="13" thickBot="1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</row>
    <row r="425" spans="1:23" ht="13" thickBot="1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</row>
    <row r="426" spans="1:23" ht="13" thickBot="1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</row>
    <row r="427" spans="1:23" ht="13" thickBot="1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</row>
    <row r="428" spans="1:23" ht="13" thickBot="1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</row>
    <row r="429" spans="1:23" ht="13" thickBot="1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</row>
    <row r="430" spans="1:23" ht="13" thickBot="1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</row>
    <row r="431" spans="1:23" ht="13" thickBot="1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</row>
    <row r="432" spans="1:23" ht="13" thickBot="1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</row>
    <row r="433" spans="1:23" ht="13" thickBot="1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</row>
    <row r="434" spans="1:23" ht="13" thickBot="1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</row>
    <row r="435" spans="1:23" ht="13" thickBot="1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</row>
    <row r="436" spans="1:23" ht="13" thickBot="1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</row>
    <row r="437" spans="1:23" ht="13" thickBot="1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</row>
    <row r="438" spans="1:23" ht="13" thickBot="1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</row>
    <row r="439" spans="1:23" ht="13" thickBot="1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</row>
    <row r="440" spans="1:23" ht="13" thickBot="1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</row>
    <row r="441" spans="1:23" ht="13" thickBot="1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</row>
    <row r="442" spans="1:23" ht="13" thickBot="1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</row>
    <row r="443" spans="1:23" ht="13" thickBot="1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</row>
    <row r="444" spans="1:23" ht="13" thickBot="1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</row>
    <row r="445" spans="1:23" ht="13" thickBot="1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</row>
    <row r="446" spans="1:23" ht="13" thickBot="1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</row>
    <row r="447" spans="1:23" ht="13" thickBot="1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</row>
    <row r="448" spans="1:23" ht="13" thickBot="1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</row>
    <row r="449" spans="1:23" ht="13" thickBot="1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</row>
    <row r="450" spans="1:23" ht="13" thickBot="1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</row>
    <row r="451" spans="1:23" ht="13" thickBot="1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</row>
    <row r="452" spans="1:23" ht="13" thickBot="1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</row>
    <row r="453" spans="1:23" ht="13" thickBot="1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</row>
    <row r="454" spans="1:23" ht="13" thickBot="1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</row>
    <row r="455" spans="1:23" ht="13" thickBot="1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</row>
    <row r="456" spans="1:23" ht="13" thickBot="1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</row>
    <row r="457" spans="1:23" ht="13" thickBot="1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</row>
    <row r="458" spans="1:23" ht="13" thickBot="1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</row>
    <row r="459" spans="1:23" ht="13" thickBot="1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</row>
    <row r="460" spans="1:23" ht="13" thickBot="1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</row>
    <row r="461" spans="1:23" ht="13" thickBot="1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</row>
    <row r="462" spans="1:23" ht="13" thickBot="1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</row>
    <row r="463" spans="1:23" ht="13" thickBot="1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</row>
    <row r="464" spans="1:23" ht="13" thickBot="1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</row>
    <row r="465" spans="1:23" ht="13" thickBot="1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</row>
    <row r="466" spans="1:23" ht="13" thickBot="1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</row>
    <row r="467" spans="1:23" ht="13" thickBot="1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</row>
    <row r="468" spans="1:23" ht="13" thickBot="1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</row>
    <row r="469" spans="1:23" ht="13" thickBot="1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</row>
    <row r="470" spans="1:23" ht="13" thickBot="1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</row>
    <row r="471" spans="1:23" ht="13" thickBot="1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</row>
    <row r="472" spans="1:23" ht="13" thickBot="1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</row>
    <row r="473" spans="1:23" ht="13" thickBot="1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</row>
    <row r="474" spans="1:23" ht="13" thickBot="1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</row>
    <row r="475" spans="1:23" ht="13" thickBot="1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</row>
    <row r="476" spans="1:23" ht="13" thickBot="1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</row>
    <row r="477" spans="1:23" ht="13" thickBot="1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</row>
    <row r="478" spans="1:23" ht="13" thickBot="1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</row>
    <row r="479" spans="1:23" ht="13" thickBot="1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</row>
    <row r="480" spans="1:23" ht="13" thickBot="1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</row>
    <row r="481" spans="1:23" ht="13" thickBot="1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</row>
    <row r="482" spans="1:23" ht="13" thickBot="1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</row>
    <row r="483" spans="1:23" ht="13" thickBot="1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</row>
    <row r="484" spans="1:23" ht="13" thickBot="1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</row>
    <row r="485" spans="1:23" ht="13" thickBot="1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</row>
    <row r="486" spans="1:23" ht="13" thickBot="1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</row>
    <row r="487" spans="1:23" ht="13" thickBot="1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</row>
    <row r="488" spans="1:23" ht="13" thickBot="1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</row>
    <row r="489" spans="1:23" ht="13" thickBot="1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</row>
    <row r="490" spans="1:23" ht="13" thickBot="1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</row>
    <row r="491" spans="1:23" ht="13" thickBot="1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</row>
    <row r="492" spans="1:23" ht="13" thickBot="1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</row>
    <row r="493" spans="1:23" ht="13" thickBot="1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</row>
    <row r="494" spans="1:23" ht="13" thickBot="1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</row>
    <row r="495" spans="1:23" ht="13" thickBot="1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</row>
    <row r="496" spans="1:23" ht="13" thickBot="1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</row>
    <row r="497" spans="1:23" ht="13" thickBot="1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</row>
    <row r="498" spans="1:23" ht="13" thickBot="1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</row>
    <row r="499" spans="1:23" ht="13" thickBot="1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</row>
    <row r="500" spans="1:23" ht="13" thickBot="1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</row>
    <row r="501" spans="1:23" ht="13" thickBot="1">
      <c r="A501" s="97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</row>
    <row r="502" spans="1:23" ht="13" thickBot="1">
      <c r="A502" s="97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</row>
    <row r="503" spans="1:23" ht="13" thickBot="1">
      <c r="A503" s="97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</row>
    <row r="504" spans="1:23" ht="13" thickBot="1">
      <c r="A504" s="97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</row>
    <row r="505" spans="1:23" ht="13" thickBot="1">
      <c r="A505" s="97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</row>
    <row r="506" spans="1:23" ht="13" thickBot="1">
      <c r="A506" s="97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</row>
    <row r="507" spans="1:23" ht="13" thickBot="1">
      <c r="A507" s="97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</row>
    <row r="508" spans="1:23" ht="13" thickBot="1">
      <c r="A508" s="97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</row>
    <row r="509" spans="1:23" ht="13" thickBot="1">
      <c r="A509" s="97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</row>
    <row r="510" spans="1:23" ht="13" thickBot="1">
      <c r="A510" s="97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</row>
    <row r="511" spans="1:23" ht="13" thickBot="1">
      <c r="A511" s="97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</row>
    <row r="512" spans="1:23" ht="13" thickBot="1">
      <c r="A512" s="97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</row>
    <row r="513" spans="1:23" ht="13" thickBot="1">
      <c r="A513" s="97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</row>
    <row r="514" spans="1:23" ht="13" thickBot="1">
      <c r="A514" s="97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</row>
    <row r="515" spans="1:23" ht="13" thickBot="1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</row>
    <row r="516" spans="1:23" ht="13" thickBot="1">
      <c r="A516" s="97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</row>
    <row r="517" spans="1:23" ht="13" thickBot="1">
      <c r="A517" s="97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</row>
    <row r="518" spans="1:23" ht="13" thickBot="1">
      <c r="A518" s="97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</row>
    <row r="519" spans="1:23" ht="13" thickBot="1">
      <c r="A519" s="97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</row>
    <row r="520" spans="1:23" ht="13" thickBot="1">
      <c r="A520" s="97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</row>
    <row r="521" spans="1:23" ht="13" thickBot="1">
      <c r="A521" s="97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</row>
    <row r="522" spans="1:23" ht="13" thickBot="1">
      <c r="A522" s="97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</row>
    <row r="523" spans="1:23" ht="13" thickBot="1">
      <c r="A523" s="97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</row>
    <row r="524" spans="1:23" ht="13" thickBot="1">
      <c r="A524" s="97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</row>
    <row r="525" spans="1:23" ht="13" thickBot="1">
      <c r="A525" s="97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</row>
    <row r="526" spans="1:23" ht="13" thickBot="1">
      <c r="A526" s="97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</row>
    <row r="527" spans="1:23" ht="13" thickBot="1">
      <c r="A527" s="97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</row>
    <row r="528" spans="1:23" ht="13" thickBot="1">
      <c r="A528" s="97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</row>
    <row r="529" spans="1:23" ht="13" thickBot="1">
      <c r="A529" s="97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</row>
    <row r="530" spans="1:23" ht="13" thickBot="1">
      <c r="A530" s="97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</row>
    <row r="531" spans="1:23" ht="13" thickBot="1">
      <c r="A531" s="97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</row>
    <row r="532" spans="1:23" ht="13" thickBot="1">
      <c r="A532" s="97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</row>
    <row r="533" spans="1:23" ht="13" thickBot="1">
      <c r="A533" s="97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</row>
    <row r="534" spans="1:23" ht="13" thickBot="1">
      <c r="A534" s="97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</row>
    <row r="535" spans="1:23" ht="13" thickBot="1">
      <c r="A535" s="97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</row>
    <row r="536" spans="1:23" ht="13" thickBot="1">
      <c r="A536" s="97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</row>
    <row r="537" spans="1:23" ht="13" thickBot="1">
      <c r="A537" s="97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</row>
    <row r="538" spans="1:23" ht="13" thickBot="1">
      <c r="A538" s="97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</row>
    <row r="539" spans="1:23" ht="13" thickBot="1">
      <c r="A539" s="97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</row>
    <row r="540" spans="1:23" ht="13" thickBot="1">
      <c r="A540" s="97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</row>
    <row r="541" spans="1:23" ht="13" thickBot="1">
      <c r="A541" s="97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</row>
    <row r="542" spans="1:23" ht="13" thickBot="1">
      <c r="A542" s="97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</row>
    <row r="543" spans="1:23" ht="13" thickBot="1">
      <c r="A543" s="97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</row>
    <row r="544" spans="1:23" ht="13" thickBot="1">
      <c r="A544" s="97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</row>
    <row r="545" spans="1:23" ht="13" thickBot="1">
      <c r="A545" s="97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</row>
    <row r="546" spans="1:23" ht="13" thickBot="1">
      <c r="A546" s="97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</row>
    <row r="547" spans="1:23" ht="13" thickBot="1">
      <c r="A547" s="97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</row>
    <row r="548" spans="1:23" ht="13" thickBot="1">
      <c r="A548" s="97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</row>
    <row r="549" spans="1:23" ht="13" thickBot="1">
      <c r="A549" s="97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</row>
    <row r="550" spans="1:23" ht="13" thickBot="1">
      <c r="A550" s="97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</row>
    <row r="551" spans="1:23" ht="13" thickBot="1">
      <c r="A551" s="97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</row>
    <row r="552" spans="1:23" ht="13" thickBot="1">
      <c r="A552" s="97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</row>
    <row r="553" spans="1:23" ht="13" thickBot="1">
      <c r="A553" s="97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</row>
    <row r="554" spans="1:23" ht="13" thickBot="1">
      <c r="A554" s="97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</row>
    <row r="555" spans="1:23" ht="13" thickBot="1">
      <c r="A555" s="97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</row>
    <row r="556" spans="1:23" ht="13" thickBot="1">
      <c r="A556" s="97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</row>
    <row r="557" spans="1:23" ht="13" thickBot="1">
      <c r="A557" s="97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</row>
    <row r="558" spans="1:23" ht="13" thickBot="1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</row>
    <row r="559" spans="1:23" ht="13" thickBot="1">
      <c r="A559" s="97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</row>
    <row r="560" spans="1:23" ht="13" thickBot="1">
      <c r="A560" s="97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</row>
    <row r="561" spans="1:23" ht="13" thickBot="1">
      <c r="A561" s="97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</row>
    <row r="562" spans="1:23" ht="13" thickBot="1">
      <c r="A562" s="97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</row>
    <row r="563" spans="1:23" ht="13" thickBot="1">
      <c r="A563" s="97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</row>
    <row r="564" spans="1:23" ht="13" thickBot="1">
      <c r="A564" s="97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</row>
    <row r="565" spans="1:23" ht="13" thickBot="1">
      <c r="A565" s="97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</row>
    <row r="566" spans="1:23" ht="13" thickBot="1">
      <c r="A566" s="97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</row>
    <row r="567" spans="1:23" ht="13" thickBot="1">
      <c r="A567" s="97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</row>
    <row r="568" spans="1:23" ht="13" thickBot="1">
      <c r="A568" s="97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</row>
    <row r="569" spans="1:23" ht="13" thickBot="1">
      <c r="A569" s="97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</row>
    <row r="570" spans="1:23" ht="13" thickBot="1">
      <c r="A570" s="97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</row>
    <row r="571" spans="1:23" ht="13" thickBot="1">
      <c r="A571" s="97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</row>
    <row r="572" spans="1:23" ht="13" thickBot="1">
      <c r="A572" s="97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</row>
    <row r="573" spans="1:23" ht="13" thickBot="1">
      <c r="A573" s="97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</row>
    <row r="574" spans="1:23" ht="13" thickBot="1">
      <c r="A574" s="97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</row>
    <row r="575" spans="1:23" ht="13" thickBot="1">
      <c r="A575" s="97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</row>
    <row r="576" spans="1:23" ht="13" thickBot="1">
      <c r="A576" s="97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</row>
    <row r="577" spans="1:23" ht="13" thickBot="1">
      <c r="A577" s="97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</row>
    <row r="578" spans="1:23" ht="13" thickBot="1">
      <c r="A578" s="97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</row>
    <row r="579" spans="1:23" ht="13" thickBot="1">
      <c r="A579" s="97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</row>
    <row r="580" spans="1:23" ht="13" thickBot="1">
      <c r="A580" s="97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</row>
    <row r="581" spans="1:23" ht="13" thickBot="1">
      <c r="A581" s="97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</row>
    <row r="582" spans="1:23" ht="13" thickBot="1">
      <c r="A582" s="97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</row>
    <row r="583" spans="1:23" ht="13" thickBot="1">
      <c r="A583" s="97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</row>
    <row r="584" spans="1:23" ht="13" thickBot="1">
      <c r="A584" s="97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</row>
    <row r="585" spans="1:23" ht="13" thickBot="1">
      <c r="A585" s="97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</row>
    <row r="586" spans="1:23" ht="13" thickBot="1">
      <c r="A586" s="97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</row>
    <row r="587" spans="1:23" ht="13" thickBot="1">
      <c r="A587" s="97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</row>
    <row r="588" spans="1:23" ht="13" thickBot="1">
      <c r="A588" s="97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</row>
    <row r="589" spans="1:23" ht="13" thickBot="1">
      <c r="A589" s="97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</row>
    <row r="590" spans="1:23" ht="13" thickBot="1">
      <c r="A590" s="97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</row>
    <row r="591" spans="1:23" ht="13" thickBot="1">
      <c r="A591" s="97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</row>
    <row r="592" spans="1:23" ht="13" thickBot="1">
      <c r="A592" s="97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</row>
    <row r="593" spans="1:23" ht="13" thickBot="1">
      <c r="A593" s="97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</row>
    <row r="594" spans="1:23" ht="13" thickBot="1">
      <c r="A594" s="97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</row>
    <row r="595" spans="1:23" ht="13" thickBot="1">
      <c r="A595" s="97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</row>
    <row r="596" spans="1:23" ht="13" thickBot="1">
      <c r="A596" s="97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</row>
    <row r="597" spans="1:23" ht="13" thickBot="1">
      <c r="A597" s="97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</row>
    <row r="598" spans="1:23" ht="13" thickBot="1">
      <c r="A598" s="97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</row>
    <row r="599" spans="1:23" ht="13" thickBot="1">
      <c r="A599" s="97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</row>
    <row r="600" spans="1:23" ht="13" thickBot="1">
      <c r="A600" s="97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</row>
    <row r="601" spans="1:23" ht="13" thickBot="1">
      <c r="A601" s="97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</row>
    <row r="602" spans="1:23" ht="13" thickBot="1">
      <c r="A602" s="97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</row>
    <row r="603" spans="1:23" ht="13" thickBot="1">
      <c r="A603" s="97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</row>
    <row r="604" spans="1:23" ht="13" thickBot="1">
      <c r="A604" s="97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</row>
    <row r="605" spans="1:23" ht="13" thickBot="1">
      <c r="A605" s="97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</row>
    <row r="606" spans="1:23" ht="13" thickBot="1">
      <c r="A606" s="97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</row>
    <row r="607" spans="1:23" ht="13" thickBot="1">
      <c r="A607" s="97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</row>
    <row r="608" spans="1:23" ht="13" thickBot="1">
      <c r="A608" s="97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</row>
    <row r="609" spans="1:23" ht="13" thickBot="1">
      <c r="A609" s="97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</row>
    <row r="610" spans="1:23" ht="13" thickBot="1">
      <c r="A610" s="97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</row>
    <row r="611" spans="1:23" ht="13" thickBot="1">
      <c r="A611" s="97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</row>
    <row r="612" spans="1:23" ht="13" thickBot="1">
      <c r="A612" s="97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</row>
    <row r="613" spans="1:23" ht="13" thickBot="1">
      <c r="A613" s="97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</row>
    <row r="614" spans="1:23" ht="13" thickBot="1">
      <c r="A614" s="97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</row>
    <row r="615" spans="1:23" ht="13" thickBot="1">
      <c r="A615" s="97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</row>
    <row r="616" spans="1:23" ht="13" thickBot="1">
      <c r="A616" s="97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</row>
    <row r="617" spans="1:23" ht="13" thickBot="1">
      <c r="A617" s="97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</row>
    <row r="618" spans="1:23" ht="13" thickBot="1">
      <c r="A618" s="97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</row>
    <row r="619" spans="1:23" ht="13" thickBot="1">
      <c r="A619" s="97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</row>
    <row r="620" spans="1:23" ht="13" thickBot="1">
      <c r="A620" s="97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</row>
    <row r="621" spans="1:23" ht="13" thickBot="1">
      <c r="A621" s="97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</row>
    <row r="622" spans="1:23" ht="13" thickBot="1">
      <c r="A622" s="97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</row>
    <row r="623" spans="1:23" ht="13" thickBot="1">
      <c r="A623" s="97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</row>
    <row r="624" spans="1:23" ht="13" thickBot="1">
      <c r="A624" s="97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</row>
    <row r="625" spans="1:23" ht="13" thickBot="1">
      <c r="A625" s="97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</row>
    <row r="626" spans="1:23" ht="13" thickBot="1">
      <c r="A626" s="97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</row>
    <row r="627" spans="1:23" ht="13" thickBot="1">
      <c r="A627" s="97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</row>
    <row r="628" spans="1:23" ht="13" thickBot="1">
      <c r="A628" s="97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</row>
    <row r="629" spans="1:23" ht="13" thickBot="1">
      <c r="A629" s="97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</row>
    <row r="630" spans="1:23" ht="13" thickBot="1">
      <c r="A630" s="97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</row>
    <row r="631" spans="1:23" ht="13" thickBot="1">
      <c r="A631" s="97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</row>
    <row r="632" spans="1:23" ht="13" thickBot="1">
      <c r="A632" s="97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</row>
    <row r="633" spans="1:23" ht="13" thickBot="1">
      <c r="A633" s="97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</row>
    <row r="634" spans="1:23" ht="13" thickBot="1">
      <c r="A634" s="97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</row>
    <row r="635" spans="1:23" ht="13" thickBot="1">
      <c r="A635" s="97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</row>
    <row r="636" spans="1:23" ht="13" thickBot="1">
      <c r="A636" s="97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</row>
    <row r="637" spans="1:23" ht="13" thickBot="1">
      <c r="A637" s="97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</row>
    <row r="638" spans="1:23" ht="13" thickBot="1">
      <c r="A638" s="97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</row>
    <row r="639" spans="1:23" ht="13" thickBot="1">
      <c r="A639" s="97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</row>
    <row r="640" spans="1:23" ht="13" thickBot="1">
      <c r="A640" s="97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</row>
    <row r="641" spans="1:23" ht="13" thickBot="1">
      <c r="A641" s="97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</row>
    <row r="642" spans="1:23" ht="13" thickBot="1">
      <c r="A642" s="97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</row>
    <row r="643" spans="1:23" ht="13" thickBot="1">
      <c r="A643" s="97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</row>
    <row r="644" spans="1:23" ht="13" thickBot="1">
      <c r="A644" s="97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</row>
    <row r="645" spans="1:23" ht="13" thickBot="1">
      <c r="A645" s="97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</row>
    <row r="646" spans="1:23" ht="13" thickBot="1">
      <c r="A646" s="97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</row>
    <row r="647" spans="1:23" ht="13" thickBot="1">
      <c r="A647" s="97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</row>
    <row r="648" spans="1:23" ht="13" thickBot="1">
      <c r="A648" s="97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</row>
    <row r="649" spans="1:23" ht="13" thickBot="1">
      <c r="A649" s="97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</row>
    <row r="650" spans="1:23" ht="13" thickBot="1">
      <c r="A650" s="97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</row>
    <row r="651" spans="1:23" ht="13" thickBot="1">
      <c r="A651" s="97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</row>
    <row r="652" spans="1:23" ht="13" thickBot="1">
      <c r="A652" s="97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</row>
    <row r="653" spans="1:23" ht="13" thickBot="1">
      <c r="A653" s="97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</row>
    <row r="654" spans="1:23" ht="13" thickBot="1">
      <c r="A654" s="97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</row>
    <row r="655" spans="1:23" ht="13" thickBot="1">
      <c r="A655" s="97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</row>
    <row r="656" spans="1:23" ht="13" thickBot="1">
      <c r="A656" s="97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</row>
    <row r="657" spans="1:23" ht="13" thickBot="1">
      <c r="A657" s="97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</row>
    <row r="658" spans="1:23" ht="13" thickBot="1">
      <c r="A658" s="97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</row>
    <row r="659" spans="1:23" ht="13" thickBot="1">
      <c r="A659" s="97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</row>
    <row r="660" spans="1:23" ht="13" thickBot="1">
      <c r="A660" s="97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</row>
    <row r="661" spans="1:23" ht="13" thickBot="1">
      <c r="A661" s="97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</row>
    <row r="662" spans="1:23" ht="13" thickBot="1">
      <c r="A662" s="97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</row>
    <row r="663" spans="1:23" ht="13" thickBot="1">
      <c r="A663" s="97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</row>
    <row r="664" spans="1:23" ht="13" thickBot="1">
      <c r="A664" s="97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</row>
    <row r="665" spans="1:23" ht="13" thickBot="1">
      <c r="A665" s="97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</row>
    <row r="666" spans="1:23" ht="13" thickBot="1">
      <c r="A666" s="97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</row>
    <row r="667" spans="1:23" ht="13" thickBot="1">
      <c r="A667" s="97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</row>
    <row r="668" spans="1:23" ht="13" thickBot="1">
      <c r="A668" s="97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</row>
    <row r="669" spans="1:23" ht="13" thickBot="1">
      <c r="A669" s="97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</row>
    <row r="670" spans="1:23" ht="13" thickBot="1">
      <c r="A670" s="97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</row>
    <row r="671" spans="1:23" ht="13" thickBot="1">
      <c r="A671" s="97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</row>
    <row r="672" spans="1:23" ht="13" thickBot="1">
      <c r="A672" s="97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</row>
    <row r="673" spans="1:23" ht="13" thickBot="1">
      <c r="A673" s="97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</row>
    <row r="674" spans="1:23" ht="13" thickBot="1">
      <c r="A674" s="97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</row>
    <row r="675" spans="1:23" ht="13" thickBot="1">
      <c r="A675" s="97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</row>
    <row r="676" spans="1:23" ht="13" thickBot="1">
      <c r="A676" s="97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</row>
    <row r="677" spans="1:23" ht="13" thickBot="1">
      <c r="A677" s="97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</row>
    <row r="678" spans="1:23" ht="13" thickBot="1">
      <c r="A678" s="97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</row>
    <row r="679" spans="1:23" ht="13" thickBot="1">
      <c r="A679" s="97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</row>
    <row r="680" spans="1:23" ht="13" thickBot="1">
      <c r="A680" s="97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</row>
    <row r="681" spans="1:23" ht="13" thickBot="1">
      <c r="A681" s="97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</row>
    <row r="682" spans="1:23" ht="13" thickBot="1">
      <c r="A682" s="97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</row>
    <row r="683" spans="1:23" ht="13" thickBot="1">
      <c r="A683" s="97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</row>
    <row r="684" spans="1:23" ht="13" thickBot="1">
      <c r="A684" s="97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</row>
    <row r="685" spans="1:23" ht="13" thickBot="1">
      <c r="A685" s="97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</row>
    <row r="686" spans="1:23" ht="13" thickBot="1">
      <c r="A686" s="97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</row>
    <row r="687" spans="1:23" ht="13" thickBot="1">
      <c r="A687" s="97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</row>
    <row r="688" spans="1:23" ht="13" thickBot="1">
      <c r="A688" s="97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</row>
    <row r="689" spans="1:23" ht="13" thickBot="1">
      <c r="A689" s="97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</row>
    <row r="690" spans="1:23" ht="13" thickBot="1">
      <c r="A690" s="97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</row>
    <row r="691" spans="1:23" ht="13" thickBot="1">
      <c r="A691" s="97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</row>
    <row r="692" spans="1:23" ht="13" thickBot="1">
      <c r="A692" s="97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</row>
    <row r="693" spans="1:23" ht="13" thickBot="1">
      <c r="A693" s="97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</row>
    <row r="694" spans="1:23" ht="13" thickBot="1">
      <c r="A694" s="97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</row>
    <row r="695" spans="1:23" ht="13" thickBot="1">
      <c r="A695" s="97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</row>
    <row r="696" spans="1:23" ht="13" thickBot="1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</row>
    <row r="697" spans="1:23" ht="13" thickBot="1">
      <c r="A697" s="97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</row>
    <row r="698" spans="1:23" ht="13" thickBot="1">
      <c r="A698" s="97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</row>
    <row r="699" spans="1:23" ht="13" thickBot="1">
      <c r="A699" s="97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</row>
    <row r="700" spans="1:23" ht="13" thickBot="1">
      <c r="A700" s="97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</row>
    <row r="701" spans="1:23" ht="13" thickBot="1">
      <c r="A701" s="97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</row>
    <row r="702" spans="1:23" ht="13" thickBot="1">
      <c r="A702" s="97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</row>
    <row r="703" spans="1:23" ht="13" thickBot="1">
      <c r="A703" s="97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</row>
    <row r="704" spans="1:23" ht="13" thickBot="1">
      <c r="A704" s="97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</row>
    <row r="705" spans="1:23" ht="13" thickBot="1">
      <c r="A705" s="97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</row>
    <row r="706" spans="1:23" ht="13" thickBot="1">
      <c r="A706" s="97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</row>
    <row r="707" spans="1:23" ht="13" thickBot="1">
      <c r="A707" s="97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</row>
    <row r="708" spans="1:23" ht="13" thickBot="1">
      <c r="A708" s="97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</row>
    <row r="709" spans="1:23" ht="13" thickBot="1">
      <c r="A709" s="97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</row>
    <row r="710" spans="1:23" ht="13" thickBot="1">
      <c r="A710" s="97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</row>
    <row r="711" spans="1:23" ht="13" thickBot="1">
      <c r="A711" s="97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</row>
    <row r="712" spans="1:23" ht="13" thickBot="1">
      <c r="A712" s="97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</row>
    <row r="713" spans="1:23" ht="13" thickBot="1">
      <c r="A713" s="97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</row>
    <row r="714" spans="1:23" ht="13" thickBot="1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</row>
    <row r="715" spans="1:23" ht="13" thickBot="1">
      <c r="A715" s="97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</row>
    <row r="716" spans="1:23" ht="13" thickBot="1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</row>
    <row r="717" spans="1:23" ht="13" thickBot="1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</row>
    <row r="718" spans="1:23" ht="13" thickBot="1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</row>
    <row r="719" spans="1:23" ht="13" thickBot="1">
      <c r="A719" s="97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</row>
    <row r="720" spans="1:23" ht="13" thickBot="1">
      <c r="A720" s="97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</row>
    <row r="721" spans="1:23" ht="13" thickBot="1">
      <c r="A721" s="97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</row>
    <row r="722" spans="1:23" ht="13" thickBot="1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</row>
    <row r="723" spans="1:23" ht="13" thickBot="1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</row>
    <row r="724" spans="1:23" ht="13" thickBot="1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</row>
    <row r="725" spans="1:23" ht="13" thickBot="1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</row>
    <row r="726" spans="1:23" ht="13" thickBot="1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</row>
    <row r="727" spans="1:23" ht="13" thickBot="1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</row>
    <row r="728" spans="1:23" ht="13" thickBot="1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</row>
    <row r="729" spans="1:23" ht="13" thickBot="1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</row>
    <row r="730" spans="1:23" ht="13" thickBot="1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</row>
    <row r="731" spans="1:23" ht="13" thickBot="1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</row>
    <row r="732" spans="1:23" ht="13" thickBot="1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</row>
    <row r="733" spans="1:23" ht="13" thickBot="1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</row>
    <row r="734" spans="1:23" ht="13" thickBot="1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</row>
    <row r="735" spans="1:23" ht="13" thickBot="1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</row>
    <row r="736" spans="1:23" ht="13" thickBot="1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</row>
    <row r="737" spans="1:23" ht="13" thickBot="1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</row>
    <row r="738" spans="1:23" ht="13" thickBot="1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</row>
    <row r="739" spans="1:23" ht="13" thickBot="1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</row>
    <row r="740" spans="1:23" ht="13" thickBot="1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</row>
    <row r="741" spans="1:23" ht="13" thickBot="1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</row>
    <row r="742" spans="1:23" ht="13" thickBot="1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</row>
    <row r="743" spans="1:23" ht="13" thickBot="1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</row>
    <row r="744" spans="1:23" ht="13" thickBot="1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</row>
    <row r="745" spans="1:23" ht="13" thickBot="1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</row>
    <row r="746" spans="1:23" ht="13" thickBot="1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</row>
    <row r="747" spans="1:23" ht="13" thickBot="1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</row>
    <row r="748" spans="1:23" ht="13" thickBot="1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</row>
    <row r="749" spans="1:23" ht="13" thickBot="1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</row>
    <row r="750" spans="1:23" ht="13" thickBot="1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</row>
    <row r="751" spans="1:23" ht="13" thickBot="1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</row>
    <row r="752" spans="1:23" ht="13" thickBot="1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</row>
    <row r="753" spans="1:23" ht="13" thickBot="1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</row>
    <row r="754" spans="1:23" ht="13" thickBot="1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</row>
    <row r="755" spans="1:23" ht="13" thickBot="1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</row>
    <row r="756" spans="1:23" ht="13" thickBot="1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</row>
    <row r="757" spans="1:23" ht="13" thickBot="1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</row>
    <row r="758" spans="1:23" ht="13" thickBot="1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</row>
    <row r="759" spans="1:23" ht="13" thickBot="1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</row>
    <row r="760" spans="1:23" ht="13" thickBot="1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</row>
    <row r="761" spans="1:23" ht="13" thickBot="1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</row>
    <row r="762" spans="1:23" ht="13" thickBot="1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</row>
    <row r="763" spans="1:23" ht="13" thickBot="1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</row>
    <row r="764" spans="1:23" ht="13" thickBot="1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</row>
    <row r="765" spans="1:23" ht="13" thickBot="1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</row>
    <row r="766" spans="1:23" ht="13" thickBot="1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</row>
    <row r="767" spans="1:23" ht="13" thickBot="1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</row>
    <row r="768" spans="1:23" ht="13" thickBot="1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</row>
    <row r="769" spans="1:23" ht="13" thickBot="1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</row>
    <row r="770" spans="1:23" ht="13" thickBot="1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</row>
    <row r="771" spans="1:23" ht="13" thickBot="1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</row>
    <row r="772" spans="1:23" ht="13" thickBot="1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</row>
    <row r="773" spans="1:23" ht="13" thickBot="1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</row>
    <row r="774" spans="1:23" ht="13" thickBot="1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</row>
    <row r="775" spans="1:23" ht="13" thickBot="1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</row>
    <row r="776" spans="1:23" ht="13" thickBot="1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</row>
    <row r="777" spans="1:23" ht="13" thickBot="1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</row>
    <row r="778" spans="1:23" ht="13" thickBot="1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</row>
    <row r="779" spans="1:23" ht="13" thickBot="1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</row>
    <row r="780" spans="1:23" ht="13" thickBot="1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</row>
    <row r="781" spans="1:23" ht="13" thickBot="1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</row>
    <row r="782" spans="1:23" ht="13" thickBot="1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</row>
    <row r="783" spans="1:23" ht="13" thickBot="1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</row>
    <row r="784" spans="1:23" ht="13" thickBot="1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</row>
    <row r="785" spans="1:23" ht="13" thickBot="1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</row>
    <row r="786" spans="1:23" ht="13" thickBot="1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</row>
    <row r="787" spans="1:23" ht="13" thickBot="1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</row>
    <row r="788" spans="1:23" ht="13" thickBot="1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</row>
    <row r="789" spans="1:23" ht="13" thickBot="1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</row>
    <row r="790" spans="1:23" ht="13" thickBot="1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</row>
    <row r="791" spans="1:23" ht="13" thickBot="1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</row>
    <row r="792" spans="1:23" ht="13" thickBot="1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</row>
    <row r="793" spans="1:23" ht="13" thickBot="1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</row>
    <row r="794" spans="1:23" ht="13" thickBot="1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</row>
    <row r="795" spans="1:23" ht="13" thickBot="1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</row>
    <row r="796" spans="1:23" ht="13" thickBot="1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</row>
    <row r="797" spans="1:23" ht="13" thickBot="1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</row>
    <row r="798" spans="1:23" ht="13" thickBot="1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</row>
    <row r="799" spans="1:23" ht="13" thickBot="1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</row>
    <row r="800" spans="1:23" ht="13" thickBot="1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</row>
    <row r="801" spans="1:23" ht="13" thickBot="1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</row>
    <row r="802" spans="1:23" ht="13" thickBot="1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</row>
    <row r="803" spans="1:23" ht="13" thickBot="1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</row>
    <row r="804" spans="1:23" ht="13" thickBot="1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</row>
    <row r="805" spans="1:23" ht="13" thickBot="1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</row>
    <row r="806" spans="1:23" ht="13" thickBot="1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</row>
    <row r="807" spans="1:23" ht="13" thickBot="1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</row>
    <row r="808" spans="1:23" ht="13" thickBot="1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</row>
    <row r="809" spans="1:23" ht="13" thickBot="1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</row>
    <row r="810" spans="1:23" ht="13" thickBot="1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</row>
    <row r="811" spans="1:23" ht="13" thickBot="1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</row>
    <row r="812" spans="1:23" ht="13" thickBot="1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</row>
    <row r="813" spans="1:23" ht="13" thickBot="1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</row>
    <row r="814" spans="1:23" ht="13" thickBot="1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</row>
    <row r="815" spans="1:23" ht="13" thickBot="1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</row>
    <row r="816" spans="1:23" ht="13" thickBot="1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</row>
    <row r="817" spans="1:23" ht="13" thickBot="1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</row>
    <row r="818" spans="1:23" ht="13" thickBot="1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</row>
    <row r="819" spans="1:23" ht="13" thickBot="1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</row>
    <row r="820" spans="1:23" ht="13" thickBot="1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</row>
    <row r="821" spans="1:23" ht="13" thickBot="1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</row>
    <row r="822" spans="1:23" ht="13" thickBot="1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</row>
    <row r="823" spans="1:23" ht="13" thickBot="1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</row>
    <row r="824" spans="1:23" ht="13" thickBot="1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</row>
    <row r="825" spans="1:23" ht="13" thickBot="1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</row>
    <row r="826" spans="1:23" ht="13" thickBot="1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</row>
    <row r="827" spans="1:23" ht="13" thickBot="1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</row>
    <row r="828" spans="1:23" ht="13" thickBot="1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</row>
    <row r="829" spans="1:23" ht="13" thickBot="1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</row>
    <row r="830" spans="1:23" ht="13" thickBot="1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</row>
    <row r="831" spans="1:23" ht="13" thickBot="1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</row>
    <row r="832" spans="1:23" ht="13" thickBot="1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</row>
    <row r="833" spans="1:23" ht="13" thickBot="1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</row>
    <row r="834" spans="1:23" ht="13" thickBot="1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</row>
    <row r="835" spans="1:23" ht="13" thickBot="1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</row>
    <row r="836" spans="1:23" ht="13" thickBot="1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</row>
    <row r="837" spans="1:23" ht="13" thickBot="1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</row>
    <row r="838" spans="1:23" ht="13" thickBot="1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</row>
    <row r="839" spans="1:23" ht="13" thickBot="1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</row>
    <row r="840" spans="1:23" ht="13" thickBot="1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</row>
    <row r="841" spans="1:23" ht="13" thickBot="1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</row>
    <row r="842" spans="1:23" ht="13" thickBot="1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</row>
    <row r="843" spans="1:23" ht="13" thickBot="1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</row>
    <row r="844" spans="1:23" ht="13" thickBot="1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</row>
    <row r="845" spans="1:23" ht="13" thickBot="1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</row>
    <row r="846" spans="1:23" ht="13" thickBot="1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</row>
    <row r="847" spans="1:23" ht="13" thickBot="1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</row>
    <row r="848" spans="1:23" ht="13" thickBot="1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</row>
    <row r="849" spans="1:23" ht="13" thickBot="1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</row>
    <row r="850" spans="1:23" ht="13" thickBot="1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</row>
    <row r="851" spans="1:23" ht="13" thickBot="1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</row>
    <row r="852" spans="1:23" ht="13" thickBot="1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</row>
    <row r="853" spans="1:23" ht="13" thickBot="1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</row>
    <row r="854" spans="1:23" ht="13" thickBot="1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</row>
    <row r="855" spans="1:23" ht="13" thickBot="1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</row>
    <row r="856" spans="1:23" ht="13" thickBot="1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</row>
    <row r="857" spans="1:23" ht="13" thickBot="1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</row>
    <row r="858" spans="1:23" ht="13" thickBot="1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</row>
    <row r="859" spans="1:23" ht="13" thickBot="1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</row>
    <row r="860" spans="1:23" ht="13" thickBot="1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</row>
    <row r="861" spans="1:23" ht="13" thickBot="1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</row>
    <row r="862" spans="1:23" ht="13" thickBot="1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</row>
    <row r="863" spans="1:23" ht="13" thickBot="1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</row>
    <row r="864" spans="1:23" ht="13" thickBot="1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</row>
    <row r="865" spans="1:23" ht="13" thickBot="1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</row>
    <row r="866" spans="1:23" ht="13" thickBot="1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</row>
    <row r="867" spans="1:23" ht="13" thickBot="1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</row>
    <row r="868" spans="1:23" ht="13" thickBot="1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</row>
    <row r="869" spans="1:23" ht="13" thickBot="1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</row>
    <row r="870" spans="1:23" ht="13" thickBot="1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</row>
    <row r="871" spans="1:23" ht="13" thickBot="1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</row>
    <row r="872" spans="1:23" ht="13" thickBot="1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</row>
    <row r="873" spans="1:23" ht="13" thickBot="1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</row>
    <row r="874" spans="1:23" ht="13" thickBot="1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</row>
    <row r="875" spans="1:23" ht="13" thickBot="1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</row>
    <row r="876" spans="1:23" ht="13" thickBot="1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</row>
    <row r="877" spans="1:23" ht="13" thickBot="1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</row>
    <row r="878" spans="1:23" ht="13" thickBot="1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</row>
    <row r="879" spans="1:23" ht="13" thickBot="1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</row>
    <row r="880" spans="1:23" ht="13" thickBot="1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</row>
    <row r="881" spans="1:23" ht="13" thickBot="1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</row>
    <row r="882" spans="1:23" ht="13" thickBot="1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</row>
    <row r="883" spans="1:23" ht="13" thickBot="1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</row>
    <row r="884" spans="1:23" ht="13" thickBot="1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</row>
    <row r="885" spans="1:23" ht="13" thickBot="1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</row>
    <row r="886" spans="1:23" ht="13" thickBot="1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</row>
    <row r="887" spans="1:23" ht="13" thickBot="1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</row>
    <row r="888" spans="1:23" ht="13" thickBot="1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</row>
    <row r="889" spans="1:23" ht="13" thickBot="1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</row>
    <row r="890" spans="1:23" ht="13" thickBot="1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</row>
    <row r="891" spans="1:23" ht="13" thickBot="1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</row>
    <row r="892" spans="1:23" ht="13" thickBot="1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</row>
    <row r="893" spans="1:23" ht="13" thickBot="1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</row>
    <row r="894" spans="1:23" ht="13" thickBot="1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</row>
    <row r="895" spans="1:23" ht="13" thickBot="1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</row>
    <row r="896" spans="1:23" ht="13" thickBot="1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</row>
    <row r="897" spans="1:23" ht="13" thickBot="1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</row>
    <row r="898" spans="1:23" ht="13" thickBot="1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</row>
    <row r="899" spans="1:23" ht="13" thickBot="1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</row>
    <row r="900" spans="1:23" ht="13" thickBot="1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</row>
    <row r="901" spans="1:23" ht="13" thickBot="1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</row>
    <row r="902" spans="1:23" ht="13" thickBot="1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</row>
    <row r="903" spans="1:23" ht="13" thickBot="1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</row>
    <row r="904" spans="1:23" ht="13" thickBot="1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</row>
    <row r="905" spans="1:23" ht="13" thickBot="1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</row>
    <row r="906" spans="1:23" ht="13" thickBot="1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</row>
    <row r="907" spans="1:23" ht="13" thickBot="1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</row>
    <row r="908" spans="1:23" ht="13" thickBot="1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</row>
    <row r="909" spans="1:23" ht="13" thickBot="1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</row>
    <row r="910" spans="1:23" ht="13" thickBot="1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</row>
    <row r="911" spans="1:23" ht="13" thickBot="1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</row>
    <row r="912" spans="1:23" ht="13" thickBot="1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</row>
    <row r="913" spans="1:23" ht="13" thickBot="1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</row>
    <row r="914" spans="1:23" ht="13" thickBot="1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</row>
    <row r="915" spans="1:23" ht="13" thickBot="1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</row>
    <row r="916" spans="1:23" ht="13" thickBot="1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</row>
    <row r="917" spans="1:23" ht="13" thickBot="1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</row>
    <row r="918" spans="1:23" ht="13" thickBot="1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</row>
    <row r="919" spans="1:23" ht="13" thickBot="1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</row>
    <row r="920" spans="1:23" ht="13" thickBot="1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</row>
    <row r="921" spans="1:23" ht="13" thickBot="1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</row>
    <row r="922" spans="1:23" ht="13" thickBot="1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</row>
    <row r="923" spans="1:23" ht="13" thickBot="1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</row>
    <row r="924" spans="1:23" ht="13" thickBot="1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</row>
    <row r="925" spans="1:23" ht="13" thickBot="1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</row>
    <row r="926" spans="1:23" ht="13" thickBot="1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</row>
    <row r="927" spans="1:23" ht="13" thickBot="1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</row>
    <row r="928" spans="1:23" ht="13" thickBot="1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</row>
    <row r="929" spans="1:23" ht="13" thickBot="1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</row>
    <row r="930" spans="1:23" ht="13" thickBot="1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</row>
    <row r="931" spans="1:23" ht="13" thickBot="1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</row>
    <row r="932" spans="1:23" ht="13" thickBot="1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</row>
    <row r="933" spans="1:23" ht="13" thickBot="1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</row>
    <row r="934" spans="1:23" ht="13" thickBot="1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</row>
    <row r="935" spans="1:23" ht="13" thickBot="1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</row>
    <row r="936" spans="1:23" ht="13" thickBot="1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</row>
    <row r="937" spans="1:23" ht="13" thickBot="1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</row>
    <row r="938" spans="1:23" ht="13" thickBot="1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</row>
    <row r="939" spans="1:23" ht="13" thickBot="1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</row>
    <row r="940" spans="1:23" ht="13" thickBot="1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</row>
    <row r="941" spans="1:23" ht="13" thickBot="1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</row>
    <row r="942" spans="1:23" ht="13" thickBot="1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</row>
    <row r="943" spans="1:23" ht="13" thickBot="1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</row>
    <row r="944" spans="1:23" ht="13" thickBot="1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</row>
    <row r="945" spans="1:23" ht="13" thickBot="1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</row>
    <row r="946" spans="1:23" ht="13" thickBot="1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</row>
    <row r="947" spans="1:23" ht="13" thickBot="1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</row>
    <row r="948" spans="1:23" ht="13" thickBot="1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</row>
    <row r="949" spans="1:23" ht="13" thickBot="1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</row>
    <row r="950" spans="1:23" ht="13" thickBot="1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</row>
    <row r="951" spans="1:23" ht="13" thickBot="1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</row>
    <row r="952" spans="1:23" ht="13" thickBot="1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</row>
    <row r="953" spans="1:23" ht="13" thickBot="1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</row>
    <row r="954" spans="1:23" ht="13" thickBot="1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</row>
    <row r="955" spans="1:23" ht="13" thickBot="1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</row>
    <row r="956" spans="1:23" ht="13" thickBot="1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</row>
    <row r="957" spans="1:23" ht="13" thickBot="1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</row>
    <row r="958" spans="1:23" ht="13" thickBot="1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</row>
    <row r="959" spans="1:23" ht="13" thickBot="1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</row>
    <row r="960" spans="1:23" ht="13" thickBot="1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</row>
    <row r="961" spans="1:23" ht="13" thickBot="1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</row>
    <row r="962" spans="1:23" ht="13" thickBot="1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</row>
    <row r="963" spans="1:23" ht="13" thickBot="1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</row>
    <row r="964" spans="1:23" ht="13" thickBot="1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</row>
    <row r="965" spans="1:23" ht="13" thickBot="1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</row>
    <row r="966" spans="1:23" ht="13" thickBot="1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</row>
    <row r="967" spans="1:23" ht="13" thickBot="1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</row>
    <row r="968" spans="1:23" ht="13" thickBot="1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</row>
    <row r="969" spans="1:23" ht="13" thickBot="1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</row>
    <row r="970" spans="1:23" ht="13" thickBot="1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</row>
    <row r="971" spans="1:23" ht="13" thickBot="1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</row>
    <row r="972" spans="1:23" ht="13" thickBot="1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</row>
    <row r="973" spans="1:23" ht="13" thickBot="1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</row>
    <row r="974" spans="1:23" ht="13" thickBot="1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</row>
    <row r="975" spans="1:23" ht="13" thickBot="1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</row>
    <row r="976" spans="1:23" ht="13" thickBot="1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</row>
    <row r="977" spans="1:23" ht="13" thickBot="1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</row>
    <row r="978" spans="1:23" ht="13" thickBot="1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</row>
    <row r="979" spans="1:23" ht="13" thickBot="1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</row>
    <row r="980" spans="1:23" ht="13" thickBot="1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</row>
    <row r="981" spans="1:23" ht="13" thickBot="1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</row>
    <row r="982" spans="1:23" ht="13" thickBot="1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</row>
    <row r="983" spans="1:23" ht="13" thickBot="1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</row>
    <row r="984" spans="1:23" ht="13" thickBot="1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</row>
    <row r="985" spans="1:23" ht="13" thickBot="1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</row>
    <row r="986" spans="1:23" ht="13" thickBot="1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</row>
    <row r="987" spans="1:23" ht="13" thickBot="1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</row>
    <row r="988" spans="1:23" ht="13" thickBot="1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</row>
    <row r="989" spans="1:23" ht="13" thickBot="1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</row>
    <row r="990" spans="1:23" ht="13" thickBot="1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</row>
    <row r="991" spans="1:23" ht="13" thickBot="1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</row>
    <row r="992" spans="1:23" ht="13" thickBot="1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</row>
    <row r="993" spans="1:23" ht="13" thickBot="1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</row>
    <row r="994" spans="1:23" ht="13" thickBot="1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</row>
    <row r="995" spans="1:23" ht="13" thickBot="1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</row>
    <row r="996" spans="1:23" ht="13" thickBot="1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</row>
    <row r="997" spans="1:23" ht="13" thickBot="1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</row>
    <row r="998" spans="1:23" ht="13" thickBot="1">
      <c r="A998" s="97"/>
      <c r="B998" s="97"/>
      <c r="C998" s="97"/>
      <c r="D998" s="97"/>
      <c r="E998" s="97"/>
      <c r="F998" s="97"/>
      <c r="G998" s="97"/>
      <c r="H998" s="97"/>
      <c r="I998" s="97"/>
      <c r="J998" s="97"/>
      <c r="K998" s="97"/>
      <c r="L998" s="97"/>
      <c r="M998" s="97"/>
      <c r="N998" s="97"/>
      <c r="O998" s="97"/>
      <c r="P998" s="97"/>
      <c r="Q998" s="97"/>
      <c r="R998" s="97"/>
      <c r="S998" s="97"/>
      <c r="T998" s="97"/>
      <c r="U998" s="97"/>
      <c r="V998" s="97"/>
      <c r="W998" s="97"/>
    </row>
    <row r="999" spans="1:23" ht="13" thickBot="1">
      <c r="A999" s="97"/>
      <c r="B999" s="97"/>
      <c r="C999" s="97"/>
      <c r="D999" s="97"/>
      <c r="E999" s="97"/>
      <c r="F999" s="97"/>
      <c r="G999" s="97"/>
      <c r="H999" s="97"/>
      <c r="I999" s="97"/>
      <c r="J999" s="97"/>
      <c r="K999" s="97"/>
      <c r="L999" s="97"/>
      <c r="M999" s="97"/>
      <c r="N999" s="97"/>
      <c r="O999" s="97"/>
      <c r="P999" s="97"/>
      <c r="Q999" s="97"/>
      <c r="R999" s="97"/>
      <c r="S999" s="97"/>
      <c r="T999" s="97"/>
      <c r="U999" s="97"/>
      <c r="V999" s="97"/>
      <c r="W999" s="97"/>
    </row>
    <row r="1000" spans="1:23" ht="13" thickBot="1">
      <c r="A1000" s="97"/>
      <c r="B1000" s="97"/>
      <c r="C1000" s="97"/>
      <c r="D1000" s="97"/>
      <c r="E1000" s="97"/>
      <c r="F1000" s="97"/>
      <c r="G1000" s="97"/>
      <c r="H1000" s="97"/>
      <c r="I1000" s="97"/>
      <c r="J1000" s="97"/>
      <c r="K1000" s="97"/>
      <c r="L1000" s="97"/>
      <c r="M1000" s="97"/>
      <c r="N1000" s="97"/>
      <c r="O1000" s="97"/>
      <c r="P1000" s="97"/>
      <c r="Q1000" s="97"/>
      <c r="R1000" s="97"/>
      <c r="S1000" s="97"/>
      <c r="T1000" s="97"/>
      <c r="U1000" s="97"/>
      <c r="V1000" s="97"/>
      <c r="W1000" s="97"/>
    </row>
    <row r="1001" spans="1:23" ht="13" thickBot="1">
      <c r="A1001" s="97"/>
      <c r="B1001" s="97"/>
      <c r="C1001" s="97"/>
      <c r="D1001" s="97"/>
      <c r="E1001" s="97"/>
      <c r="F1001" s="97"/>
      <c r="G1001" s="97"/>
      <c r="H1001" s="97"/>
      <c r="I1001" s="97"/>
      <c r="J1001" s="97"/>
      <c r="K1001" s="97"/>
      <c r="L1001" s="97"/>
      <c r="M1001" s="97"/>
      <c r="N1001" s="97"/>
      <c r="O1001" s="97"/>
      <c r="P1001" s="97"/>
      <c r="Q1001" s="97"/>
      <c r="R1001" s="97"/>
      <c r="S1001" s="97"/>
      <c r="T1001" s="97"/>
      <c r="U1001" s="97"/>
      <c r="V1001" s="97"/>
      <c r="W1001" s="97"/>
    </row>
    <row r="1002" spans="1:23" ht="13" thickBot="1">
      <c r="A1002" s="97"/>
      <c r="B1002" s="97"/>
      <c r="C1002" s="97"/>
      <c r="D1002" s="97"/>
      <c r="E1002" s="97"/>
      <c r="F1002" s="97"/>
      <c r="G1002" s="97"/>
      <c r="H1002" s="97"/>
      <c r="I1002" s="97"/>
      <c r="J1002" s="97"/>
      <c r="K1002" s="97"/>
      <c r="L1002" s="97"/>
      <c r="M1002" s="97"/>
      <c r="N1002" s="97"/>
      <c r="O1002" s="97"/>
      <c r="P1002" s="97"/>
      <c r="Q1002" s="97"/>
      <c r="R1002" s="97"/>
      <c r="S1002" s="97"/>
      <c r="T1002" s="97"/>
      <c r="U1002" s="97"/>
      <c r="V1002" s="97"/>
      <c r="W1002" s="97"/>
    </row>
    <row r="1003" spans="1:23" ht="13" thickBot="1">
      <c r="A1003" s="97"/>
      <c r="B1003" s="97"/>
      <c r="C1003" s="97"/>
      <c r="D1003" s="97"/>
      <c r="E1003" s="97"/>
      <c r="F1003" s="97"/>
      <c r="G1003" s="97"/>
      <c r="H1003" s="97"/>
      <c r="I1003" s="97"/>
      <c r="J1003" s="97"/>
      <c r="K1003" s="97"/>
      <c r="L1003" s="97"/>
      <c r="M1003" s="97"/>
      <c r="N1003" s="97"/>
      <c r="O1003" s="97"/>
      <c r="P1003" s="97"/>
      <c r="Q1003" s="97"/>
      <c r="R1003" s="97"/>
      <c r="S1003" s="97"/>
      <c r="T1003" s="97"/>
      <c r="U1003" s="97"/>
      <c r="V1003" s="97"/>
      <c r="W1003" s="97"/>
    </row>
    <row r="1004" spans="1:23" ht="13" thickBot="1">
      <c r="A1004" s="97"/>
      <c r="B1004" s="97"/>
      <c r="C1004" s="97"/>
      <c r="D1004" s="97"/>
      <c r="E1004" s="97"/>
      <c r="F1004" s="97"/>
      <c r="G1004" s="97"/>
      <c r="H1004" s="97"/>
      <c r="I1004" s="97"/>
      <c r="J1004" s="97"/>
      <c r="K1004" s="97"/>
      <c r="L1004" s="97"/>
      <c r="M1004" s="97"/>
      <c r="N1004" s="97"/>
      <c r="O1004" s="97"/>
      <c r="P1004" s="97"/>
      <c r="Q1004" s="97"/>
      <c r="R1004" s="97"/>
      <c r="S1004" s="97"/>
      <c r="T1004" s="97"/>
      <c r="U1004" s="97"/>
      <c r="V1004" s="97"/>
      <c r="W1004" s="97"/>
    </row>
    <row r="1005" spans="1:23" ht="13" thickBot="1">
      <c r="A1005" s="97"/>
      <c r="B1005" s="97"/>
      <c r="C1005" s="97"/>
      <c r="D1005" s="97"/>
      <c r="E1005" s="97"/>
      <c r="F1005" s="97"/>
      <c r="G1005" s="97"/>
      <c r="H1005" s="97"/>
      <c r="I1005" s="97"/>
      <c r="J1005" s="97"/>
      <c r="K1005" s="97"/>
      <c r="L1005" s="97"/>
      <c r="M1005" s="97"/>
      <c r="N1005" s="97"/>
      <c r="O1005" s="97"/>
      <c r="P1005" s="97"/>
      <c r="Q1005" s="97"/>
      <c r="R1005" s="97"/>
      <c r="S1005" s="97"/>
      <c r="T1005" s="97"/>
      <c r="U1005" s="97"/>
      <c r="V1005" s="97"/>
      <c r="W1005" s="97"/>
    </row>
    <row r="1006" spans="1:23" ht="13" thickBot="1">
      <c r="A1006" s="97"/>
      <c r="B1006" s="97"/>
      <c r="C1006" s="97"/>
      <c r="D1006" s="97"/>
      <c r="E1006" s="97"/>
      <c r="F1006" s="97"/>
      <c r="G1006" s="97"/>
      <c r="H1006" s="97"/>
      <c r="I1006" s="97"/>
      <c r="J1006" s="97"/>
      <c r="K1006" s="97"/>
      <c r="L1006" s="97"/>
      <c r="M1006" s="97"/>
      <c r="N1006" s="97"/>
      <c r="O1006" s="97"/>
      <c r="P1006" s="97"/>
      <c r="Q1006" s="97"/>
      <c r="R1006" s="97"/>
      <c r="S1006" s="97"/>
      <c r="T1006" s="97"/>
      <c r="U1006" s="97"/>
      <c r="V1006" s="97"/>
      <c r="W1006" s="97"/>
    </row>
    <row r="1007" spans="1:23" ht="13" thickBot="1">
      <c r="A1007" s="97"/>
      <c r="B1007" s="97"/>
      <c r="C1007" s="97"/>
      <c r="D1007" s="97"/>
      <c r="E1007" s="97"/>
      <c r="F1007" s="97"/>
      <c r="G1007" s="97"/>
      <c r="H1007" s="97"/>
      <c r="I1007" s="97"/>
      <c r="J1007" s="97"/>
      <c r="K1007" s="97"/>
      <c r="L1007" s="97"/>
      <c r="M1007" s="97"/>
      <c r="N1007" s="97"/>
      <c r="O1007" s="97"/>
      <c r="P1007" s="97"/>
      <c r="Q1007" s="97"/>
      <c r="R1007" s="97"/>
      <c r="S1007" s="97"/>
      <c r="T1007" s="97"/>
      <c r="U1007" s="97"/>
      <c r="V1007" s="97"/>
      <c r="W1007" s="97"/>
    </row>
    <row r="1008" spans="1:23" ht="13" thickBot="1">
      <c r="A1008" s="97"/>
      <c r="B1008" s="97"/>
      <c r="C1008" s="97"/>
      <c r="D1008" s="97"/>
      <c r="E1008" s="97"/>
      <c r="F1008" s="97"/>
      <c r="G1008" s="97"/>
      <c r="H1008" s="97"/>
      <c r="I1008" s="97"/>
      <c r="J1008" s="97"/>
      <c r="K1008" s="97"/>
      <c r="L1008" s="97"/>
      <c r="M1008" s="97"/>
      <c r="N1008" s="97"/>
      <c r="O1008" s="97"/>
      <c r="P1008" s="97"/>
      <c r="Q1008" s="97"/>
      <c r="R1008" s="97"/>
      <c r="S1008" s="97"/>
      <c r="T1008" s="97"/>
      <c r="U1008" s="97"/>
      <c r="V1008" s="97"/>
      <c r="W1008" s="97"/>
    </row>
    <row r="1009" spans="1:23" ht="13" thickBot="1">
      <c r="A1009" s="97"/>
      <c r="B1009" s="97"/>
      <c r="C1009" s="97"/>
      <c r="D1009" s="97"/>
      <c r="E1009" s="97"/>
      <c r="F1009" s="97"/>
      <c r="G1009" s="97"/>
      <c r="H1009" s="97"/>
      <c r="I1009" s="97"/>
      <c r="J1009" s="97"/>
      <c r="K1009" s="97"/>
      <c r="L1009" s="97"/>
      <c r="M1009" s="97"/>
      <c r="N1009" s="97"/>
      <c r="O1009" s="97"/>
      <c r="P1009" s="97"/>
      <c r="Q1009" s="97"/>
      <c r="R1009" s="97"/>
      <c r="S1009" s="97"/>
      <c r="T1009" s="97"/>
      <c r="U1009" s="97"/>
      <c r="V1009" s="97"/>
      <c r="W1009" s="97"/>
    </row>
    <row r="1010" spans="1:23" ht="13" thickBot="1">
      <c r="A1010" s="97"/>
      <c r="B1010" s="97"/>
      <c r="C1010" s="97"/>
      <c r="D1010" s="97"/>
      <c r="E1010" s="97"/>
      <c r="F1010" s="97"/>
      <c r="G1010" s="97"/>
      <c r="H1010" s="97"/>
      <c r="I1010" s="97"/>
      <c r="J1010" s="97"/>
      <c r="K1010" s="97"/>
      <c r="L1010" s="97"/>
      <c r="M1010" s="97"/>
      <c r="N1010" s="97"/>
      <c r="O1010" s="97"/>
      <c r="P1010" s="97"/>
      <c r="Q1010" s="97"/>
      <c r="R1010" s="97"/>
      <c r="S1010" s="97"/>
      <c r="T1010" s="97"/>
      <c r="U1010" s="97"/>
      <c r="V1010" s="97"/>
      <c r="W1010" s="97"/>
    </row>
    <row r="1011" spans="1:23" ht="13" thickBot="1">
      <c r="A1011" s="97"/>
      <c r="B1011" s="97"/>
      <c r="C1011" s="97"/>
      <c r="D1011" s="97"/>
      <c r="E1011" s="97"/>
      <c r="F1011" s="97"/>
      <c r="G1011" s="97"/>
      <c r="H1011" s="97"/>
      <c r="I1011" s="97"/>
      <c r="J1011" s="97"/>
      <c r="K1011" s="97"/>
      <c r="L1011" s="97"/>
      <c r="M1011" s="97"/>
      <c r="N1011" s="97"/>
      <c r="O1011" s="97"/>
      <c r="P1011" s="97"/>
      <c r="Q1011" s="97"/>
      <c r="R1011" s="97"/>
      <c r="S1011" s="97"/>
      <c r="T1011" s="97"/>
      <c r="U1011" s="97"/>
      <c r="V1011" s="97"/>
      <c r="W1011" s="97"/>
    </row>
    <row r="1012" spans="1:23" ht="13" thickBot="1">
      <c r="A1012" s="97"/>
      <c r="B1012" s="97"/>
      <c r="C1012" s="97"/>
      <c r="D1012" s="97"/>
      <c r="E1012" s="97"/>
      <c r="F1012" s="97"/>
      <c r="G1012" s="97"/>
      <c r="H1012" s="97"/>
      <c r="I1012" s="97"/>
      <c r="J1012" s="97"/>
      <c r="K1012" s="97"/>
      <c r="L1012" s="97"/>
      <c r="M1012" s="97"/>
      <c r="N1012" s="97"/>
      <c r="O1012" s="97"/>
      <c r="P1012" s="97"/>
      <c r="Q1012" s="97"/>
      <c r="R1012" s="97"/>
      <c r="S1012" s="97"/>
      <c r="T1012" s="97"/>
      <c r="U1012" s="97"/>
      <c r="V1012" s="97"/>
      <c r="W1012" s="97"/>
    </row>
    <row r="1013" spans="1:23" ht="13" thickBot="1">
      <c r="A1013" s="97"/>
      <c r="B1013" s="97"/>
      <c r="C1013" s="97"/>
      <c r="D1013" s="97"/>
      <c r="E1013" s="97"/>
      <c r="F1013" s="97"/>
      <c r="G1013" s="97"/>
      <c r="H1013" s="97"/>
      <c r="I1013" s="97"/>
      <c r="J1013" s="97"/>
      <c r="K1013" s="97"/>
      <c r="L1013" s="97"/>
      <c r="M1013" s="97"/>
      <c r="N1013" s="97"/>
      <c r="O1013" s="97"/>
      <c r="P1013" s="97"/>
      <c r="Q1013" s="97"/>
      <c r="R1013" s="97"/>
      <c r="S1013" s="97"/>
      <c r="T1013" s="97"/>
      <c r="U1013" s="97"/>
      <c r="V1013" s="97"/>
      <c r="W1013" s="97"/>
    </row>
    <row r="1014" spans="1:23" ht="13" thickBot="1">
      <c r="A1014" s="97"/>
      <c r="B1014" s="97"/>
      <c r="C1014" s="97"/>
      <c r="D1014" s="97"/>
      <c r="E1014" s="97"/>
      <c r="F1014" s="97"/>
      <c r="G1014" s="97"/>
      <c r="H1014" s="97"/>
      <c r="I1014" s="97"/>
      <c r="J1014" s="97"/>
      <c r="K1014" s="97"/>
      <c r="L1014" s="97"/>
      <c r="M1014" s="97"/>
      <c r="N1014" s="97"/>
      <c r="O1014" s="97"/>
      <c r="P1014" s="97"/>
      <c r="Q1014" s="97"/>
      <c r="R1014" s="97"/>
      <c r="S1014" s="97"/>
      <c r="T1014" s="97"/>
      <c r="U1014" s="97"/>
      <c r="V1014" s="97"/>
      <c r="W1014" s="97"/>
    </row>
    <row r="1015" spans="1:23" ht="13" thickBot="1">
      <c r="A1015" s="97"/>
      <c r="B1015" s="97"/>
      <c r="C1015" s="97"/>
      <c r="D1015" s="97"/>
      <c r="E1015" s="97"/>
      <c r="F1015" s="97"/>
      <c r="G1015" s="97"/>
      <c r="H1015" s="97"/>
      <c r="I1015" s="97"/>
      <c r="J1015" s="97"/>
      <c r="K1015" s="97"/>
      <c r="L1015" s="97"/>
      <c r="M1015" s="97"/>
      <c r="N1015" s="97"/>
      <c r="O1015" s="97"/>
      <c r="P1015" s="97"/>
      <c r="Q1015" s="97"/>
      <c r="R1015" s="97"/>
      <c r="S1015" s="97"/>
      <c r="T1015" s="97"/>
      <c r="U1015" s="97"/>
      <c r="V1015" s="97"/>
      <c r="W1015" s="97"/>
    </row>
    <row r="1016" spans="1:23" ht="13" thickBot="1">
      <c r="A1016" s="97"/>
      <c r="B1016" s="97"/>
      <c r="C1016" s="97"/>
      <c r="D1016" s="97"/>
      <c r="E1016" s="97"/>
      <c r="F1016" s="97"/>
      <c r="G1016" s="97"/>
      <c r="H1016" s="97"/>
      <c r="I1016" s="97"/>
      <c r="J1016" s="97"/>
      <c r="K1016" s="97"/>
      <c r="L1016" s="97"/>
      <c r="M1016" s="97"/>
      <c r="N1016" s="97"/>
      <c r="O1016" s="97"/>
      <c r="P1016" s="97"/>
      <c r="Q1016" s="97"/>
      <c r="R1016" s="97"/>
      <c r="S1016" s="97"/>
      <c r="T1016" s="97"/>
      <c r="U1016" s="97"/>
      <c r="V1016" s="97"/>
      <c r="W1016" s="97"/>
    </row>
    <row r="1017" spans="1:23" ht="13" thickBot="1">
      <c r="A1017" s="97"/>
      <c r="B1017" s="97"/>
      <c r="C1017" s="97"/>
      <c r="D1017" s="97"/>
      <c r="E1017" s="97"/>
      <c r="F1017" s="97"/>
      <c r="G1017" s="97"/>
      <c r="H1017" s="97"/>
      <c r="I1017" s="97"/>
      <c r="J1017" s="97"/>
      <c r="K1017" s="97"/>
      <c r="L1017" s="97"/>
      <c r="M1017" s="97"/>
      <c r="N1017" s="97"/>
      <c r="O1017" s="97"/>
      <c r="P1017" s="97"/>
      <c r="Q1017" s="97"/>
      <c r="R1017" s="97"/>
      <c r="S1017" s="97"/>
      <c r="T1017" s="97"/>
      <c r="U1017" s="97"/>
      <c r="V1017" s="97"/>
      <c r="W1017" s="97"/>
    </row>
    <row r="1018" spans="1:23" ht="13" thickBot="1">
      <c r="A1018" s="97"/>
      <c r="B1018" s="97"/>
      <c r="C1018" s="97"/>
      <c r="D1018" s="97"/>
      <c r="E1018" s="97"/>
      <c r="F1018" s="97"/>
      <c r="G1018" s="97"/>
      <c r="H1018" s="97"/>
      <c r="I1018" s="97"/>
      <c r="J1018" s="97"/>
      <c r="K1018" s="97"/>
      <c r="L1018" s="97"/>
      <c r="M1018" s="97"/>
      <c r="N1018" s="97"/>
      <c r="O1018" s="97"/>
      <c r="P1018" s="97"/>
      <c r="Q1018" s="97"/>
      <c r="R1018" s="97"/>
      <c r="S1018" s="97"/>
      <c r="T1018" s="97"/>
      <c r="U1018" s="97"/>
      <c r="V1018" s="97"/>
      <c r="W1018" s="97"/>
    </row>
  </sheetData>
  <hyperlinks>
    <hyperlink ref="I13" r:id="rId1" xr:uid="{6381F1BA-39DB-4B3A-96B7-141E67577B17}"/>
    <hyperlink ref="I33" r:id="rId2" xr:uid="{F2B586DA-54A5-4DE0-A888-8F4F3DD0F54F}"/>
    <hyperlink ref="I34" r:id="rId3" xr:uid="{4D075C93-7393-4A56-8252-1B9E4361BA47}"/>
    <hyperlink ref="I35" r:id="rId4" xr:uid="{905838FA-0FF5-472A-BEF8-AA3953D55394}"/>
    <hyperlink ref="I38" r:id="rId5" xr:uid="{6A3596B5-F132-451D-BDEE-7D8BDA2D01C4}"/>
    <hyperlink ref="I39" r:id="rId6" xr:uid="{43573BE0-F3A1-4514-AA74-7FCC63BC2FAF}"/>
    <hyperlink ref="I44" r:id="rId7" xr:uid="{6E8552A1-1E4A-4CA0-9E1E-C00B1A3F6F92}"/>
    <hyperlink ref="I45" r:id="rId8" display="https://www.digikey.com/en/products/detail/norcomp-inc/380-015-113L001/2798596?utm_adgroup=D-Sub%20Connectors&amp;utm_source=google&amp;utm_medium=cpc&amp;utm_campaign=Shopping_Product_Connectors%2C%20Interconnects&amp;utm_term=&amp;utm_content=D-Sub%20Connectors&amp;gclid=Cj0KCQjw0emHBhC1ARIsAL1QGNceDB7lQxsDiy-hM2oMBTYHjkQrC1SEyt0V8oufECSrwKGBCoFTwKEaArcBEALw_wcB" xr:uid="{7BEE2564-1352-4535-8E2F-22F0B06FB125}"/>
    <hyperlink ref="I46" r:id="rId9" location="StraightThru-HoleMountDD" display="https://www.omnetics.com/products/micro-d/standard-micro-d-connectors1 - StraightThru-HoleMountDD" xr:uid="{2F79A664-5F3B-4D3F-A799-A0A155A0AD6C}"/>
    <hyperlink ref="I47" r:id="rId10" display="https://www.digikey.com/en/products/detail/norcomp-inc/380-025-113L001/2798597" xr:uid="{0413FD80-81C3-48EE-B0EA-3A9D633F3BCB}"/>
    <hyperlink ref="H48" r:id="rId11" display="https://www.newark.com/" xr:uid="{DE7B97DE-1AD0-4C99-831A-E0F187AA0C42}"/>
    <hyperlink ref="I48" r:id="rId12" xr:uid="{1694BF03-CA2D-4392-95B3-6E1B2BA19EF8}"/>
    <hyperlink ref="I49" r:id="rId13" xr:uid="{1201133F-CA70-48C0-ADFE-3B8571FCE057}"/>
    <hyperlink ref="I50" r:id="rId14" xr:uid="{118B0807-E4EC-4EC8-9683-DC8477598FF2}"/>
    <hyperlink ref="I51" r:id="rId15" xr:uid="{92F9C9A4-291E-4A41-B134-B15BD1861E7B}"/>
    <hyperlink ref="I53" r:id="rId16" xr:uid="{5D88E733-33E4-466E-8D85-05BF90BA7F4C}"/>
    <hyperlink ref="I54" r:id="rId17" xr:uid="{64A0A2E3-A5A5-478D-822D-8C6E4150544D}"/>
    <hyperlink ref="I55" r:id="rId18" xr:uid="{73CB84BA-CD77-4A81-A9FA-B172C3F0A426}"/>
    <hyperlink ref="I56" r:id="rId19" xr:uid="{A5F614B3-8372-4B2B-95EE-9EE508EA96C2}"/>
    <hyperlink ref="I57" r:id="rId20" xr:uid="{FB4A88B1-6704-44BA-8BBA-46CEC42808E2}"/>
    <hyperlink ref="I58" r:id="rId21" xr:uid="{C9A49C96-B705-4EAA-A007-DFB244BCA0B6}"/>
    <hyperlink ref="I59" r:id="rId22" xr:uid="{8944F3C8-0BE1-47A0-82B2-D72CC675307F}"/>
    <hyperlink ref="I60" r:id="rId23" xr:uid="{7A2E4AA6-1A71-49EF-9217-3AFB0956881C}"/>
    <hyperlink ref="I62" r:id="rId24" xr:uid="{DCD82165-EEFA-4B61-865A-930847A2F38F}"/>
    <hyperlink ref="I63" r:id="rId25" xr:uid="{4C67F7F5-8475-4F05-9BBB-2FC4D7A616B4}"/>
    <hyperlink ref="I64" r:id="rId26" xr:uid="{72A7638A-9D68-4A72-BC99-2DB1572024C2}"/>
    <hyperlink ref="I65" r:id="rId27" xr:uid="{4981DF1E-7F80-4070-8BAB-0BECE8B46324}"/>
    <hyperlink ref="I66" r:id="rId28" xr:uid="{FA989397-C066-4F3C-8AAB-D32F4B780603}"/>
    <hyperlink ref="I67" r:id="rId29" xr:uid="{FBAE9BBD-F929-4041-BFF3-ACD243347CD5}"/>
    <hyperlink ref="I76" r:id="rId30" xr:uid="{C403F87D-0907-4ED7-BD55-6AE756C3C62D}"/>
    <hyperlink ref="I2" r:id="rId31" xr:uid="{B6BF704B-D81F-4BCB-B1A4-F7F309A4A258}"/>
    <hyperlink ref="I3" r:id="rId32" xr:uid="{517495D1-7CBF-42D4-8E3B-29F26A7B4E0B}"/>
    <hyperlink ref="I4" r:id="rId33" xr:uid="{F59A33EC-A199-4410-A3A7-EDA9C9495D72}"/>
    <hyperlink ref="I5" r:id="rId34" xr:uid="{0191767D-FD8C-4BD8-ADFA-9FD2D0C5B873}"/>
    <hyperlink ref="I6" r:id="rId35" xr:uid="{86802FBD-1C47-4E72-977F-1B32B03B0597}"/>
    <hyperlink ref="I7" r:id="rId36" xr:uid="{F2DEC305-6C7D-4B5C-AAA2-391EFAA06CD4}"/>
    <hyperlink ref="I8" r:id="rId37" xr:uid="{C5FB7A4A-B7BA-4E77-944D-FEECE5235D7E}"/>
    <hyperlink ref="I9" r:id="rId38" xr:uid="{A3D14D27-9547-4687-A211-46731F400B3B}"/>
    <hyperlink ref="I10" r:id="rId39" xr:uid="{E0BEE897-38DE-4B67-96D1-CBF693A5133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B123"/>
  <sheetViews>
    <sheetView workbookViewId="0">
      <pane ySplit="1" topLeftCell="A9" activePane="bottomLeft" state="frozen"/>
      <selection pane="bottomLeft" activeCell="B3" sqref="B3"/>
    </sheetView>
  </sheetViews>
  <sheetFormatPr defaultColWidth="12.6328125" defaultRowHeight="15.75" customHeight="1"/>
  <cols>
    <col min="1" max="1" width="30.26953125" customWidth="1"/>
    <col min="2" max="2" width="36.36328125" customWidth="1"/>
    <col min="3" max="3" width="7.08984375" customWidth="1"/>
    <col min="4" max="5" width="8.7265625" customWidth="1"/>
    <col min="6" max="6" width="14.26953125" customWidth="1"/>
    <col min="8" max="8" width="20.08984375" customWidth="1"/>
    <col min="9" max="9" width="21.36328125" customWidth="1"/>
    <col min="10" max="10" width="9.453125" customWidth="1"/>
    <col min="11" max="11" width="5.26953125" customWidth="1"/>
    <col min="12" max="12" width="7.36328125" customWidth="1"/>
    <col min="13" max="13" width="10.90625" customWidth="1"/>
    <col min="14" max="14" width="18.453125" customWidth="1"/>
    <col min="16" max="16" width="6.453125" customWidth="1"/>
    <col min="17" max="17" width="7.36328125" customWidth="1"/>
    <col min="18" max="18" width="7" customWidth="1"/>
    <col min="19" max="19" width="5.7265625" customWidth="1"/>
    <col min="20" max="20" width="3.453125" customWidth="1"/>
    <col min="21" max="21" width="4.26953125" customWidth="1"/>
    <col min="22" max="22" width="17.36328125" customWidth="1"/>
    <col min="23" max="23" width="59.26953125" customWidth="1"/>
    <col min="24" max="24" width="17.36328125" customWidth="1"/>
  </cols>
  <sheetData>
    <row r="1" spans="1:28" ht="50.25" customHeight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1" t="s">
        <v>6</v>
      </c>
      <c r="I1" s="3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4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5" t="s">
        <v>20</v>
      </c>
      <c r="W1" s="5" t="s">
        <v>21</v>
      </c>
      <c r="X1" s="5"/>
      <c r="Y1" s="5"/>
      <c r="Z1" s="5"/>
      <c r="AA1" s="5"/>
      <c r="AB1" s="5"/>
    </row>
    <row r="2" spans="1:28" ht="12.5">
      <c r="A2" s="6" t="s">
        <v>22</v>
      </c>
      <c r="B2" s="6" t="s">
        <v>23</v>
      </c>
      <c r="C2" s="7">
        <v>1108</v>
      </c>
      <c r="D2" s="6">
        <v>1</v>
      </c>
      <c r="E2" s="6">
        <v>2</v>
      </c>
      <c r="F2" s="6">
        <f t="shared" ref="F2:F30" si="0">CEILING(E2/D2,1)</f>
        <v>2</v>
      </c>
      <c r="G2" s="6" t="s">
        <v>24</v>
      </c>
      <c r="H2" s="6" t="s">
        <v>25</v>
      </c>
      <c r="I2" s="8" t="s">
        <v>26</v>
      </c>
      <c r="J2" s="9"/>
      <c r="K2" s="9"/>
      <c r="L2" s="9"/>
      <c r="M2" s="10">
        <f t="shared" ref="M2:M31" si="1">F2*C2</f>
        <v>2216</v>
      </c>
      <c r="N2" s="11">
        <f>M2</f>
        <v>2216</v>
      </c>
      <c r="O2" s="9" t="b">
        <v>0</v>
      </c>
      <c r="P2" s="12"/>
      <c r="Q2" s="13"/>
      <c r="R2" s="12"/>
      <c r="S2" s="12"/>
      <c r="T2" s="12"/>
      <c r="U2" s="12"/>
      <c r="V2" s="14">
        <f>M2</f>
        <v>2216</v>
      </c>
    </row>
    <row r="3" spans="1:28" ht="50">
      <c r="A3" s="15" t="s">
        <v>27</v>
      </c>
      <c r="B3" s="6" t="s">
        <v>28</v>
      </c>
      <c r="C3" s="16">
        <v>74.75</v>
      </c>
      <c r="D3" s="6">
        <v>1</v>
      </c>
      <c r="E3" s="6">
        <v>2</v>
      </c>
      <c r="F3" s="6">
        <f t="shared" si="0"/>
        <v>2</v>
      </c>
      <c r="G3" s="17" t="s">
        <v>29</v>
      </c>
      <c r="H3" s="6" t="s">
        <v>25</v>
      </c>
      <c r="I3" s="8" t="s">
        <v>30</v>
      </c>
      <c r="J3" s="9"/>
      <c r="K3" s="9"/>
      <c r="L3" s="9"/>
      <c r="M3" s="18">
        <f t="shared" si="1"/>
        <v>149.5</v>
      </c>
      <c r="N3" s="11">
        <f t="shared" ref="N3:N31" si="2">N2+M3</f>
        <v>2365.5</v>
      </c>
      <c r="O3" s="9" t="b">
        <v>0</v>
      </c>
      <c r="P3" s="12"/>
      <c r="Q3" s="13"/>
      <c r="R3" s="12"/>
      <c r="S3" s="12"/>
      <c r="T3" s="12"/>
      <c r="U3" s="12"/>
      <c r="V3" s="14">
        <f t="shared" ref="V3:V8" si="3">V2+M3</f>
        <v>2365.5</v>
      </c>
    </row>
    <row r="4" spans="1:28" ht="50">
      <c r="A4" s="6" t="s">
        <v>31</v>
      </c>
      <c r="B4" s="6" t="s">
        <v>32</v>
      </c>
      <c r="C4" s="16">
        <v>1.2</v>
      </c>
      <c r="D4" s="6">
        <v>1</v>
      </c>
      <c r="E4" s="6">
        <v>1</v>
      </c>
      <c r="F4" s="6">
        <f t="shared" si="0"/>
        <v>1</v>
      </c>
      <c r="G4" s="6" t="s">
        <v>33</v>
      </c>
      <c r="H4" s="6" t="s">
        <v>25</v>
      </c>
      <c r="I4" s="19" t="s">
        <v>34</v>
      </c>
      <c r="J4" s="9"/>
      <c r="K4" s="9"/>
      <c r="L4" s="9"/>
      <c r="M4" s="18">
        <f t="shared" si="1"/>
        <v>1.2</v>
      </c>
      <c r="N4" s="11">
        <f t="shared" si="2"/>
        <v>2366.6999999999998</v>
      </c>
      <c r="O4" s="9" t="b">
        <v>0</v>
      </c>
      <c r="P4" s="12"/>
      <c r="Q4" s="13"/>
      <c r="R4" s="12"/>
      <c r="S4" s="12"/>
      <c r="T4" s="12"/>
      <c r="U4" s="12"/>
      <c r="V4" s="14">
        <f t="shared" si="3"/>
        <v>2366.6999999999998</v>
      </c>
    </row>
    <row r="5" spans="1:28" ht="37.5">
      <c r="A5" s="6" t="s">
        <v>35</v>
      </c>
      <c r="B5" s="6" t="s">
        <v>36</v>
      </c>
      <c r="C5" s="16">
        <v>429.95</v>
      </c>
      <c r="D5" s="6">
        <v>1</v>
      </c>
      <c r="E5" s="6">
        <v>1</v>
      </c>
      <c r="F5" s="6">
        <f t="shared" si="0"/>
        <v>1</v>
      </c>
      <c r="G5" s="6" t="s">
        <v>37</v>
      </c>
      <c r="H5" s="6" t="s">
        <v>25</v>
      </c>
      <c r="I5" s="8" t="s">
        <v>38</v>
      </c>
      <c r="J5" s="9"/>
      <c r="K5" s="9"/>
      <c r="L5" s="9"/>
      <c r="M5" s="18">
        <f t="shared" si="1"/>
        <v>429.95</v>
      </c>
      <c r="N5" s="11">
        <f t="shared" si="2"/>
        <v>2796.6499999999996</v>
      </c>
      <c r="O5" s="9" t="b">
        <v>0</v>
      </c>
      <c r="P5" s="12"/>
      <c r="Q5" s="13"/>
      <c r="R5" s="12"/>
      <c r="S5" s="12"/>
      <c r="T5" s="12"/>
      <c r="U5" s="12"/>
      <c r="V5" s="14">
        <f t="shared" si="3"/>
        <v>2796.6499999999996</v>
      </c>
    </row>
    <row r="6" spans="1:28" ht="25">
      <c r="A6" s="6" t="s">
        <v>39</v>
      </c>
      <c r="B6" s="6" t="s">
        <v>40</v>
      </c>
      <c r="C6" s="16">
        <v>69.510000000000005</v>
      </c>
      <c r="D6" s="6">
        <v>1</v>
      </c>
      <c r="E6" s="6">
        <v>1</v>
      </c>
      <c r="F6" s="6">
        <f t="shared" si="0"/>
        <v>1</v>
      </c>
      <c r="G6" s="6" t="s">
        <v>41</v>
      </c>
      <c r="H6" s="6" t="s">
        <v>25</v>
      </c>
      <c r="I6" s="19" t="s">
        <v>42</v>
      </c>
      <c r="J6" s="9"/>
      <c r="K6" s="9"/>
      <c r="L6" s="9"/>
      <c r="M6" s="18">
        <f t="shared" si="1"/>
        <v>69.510000000000005</v>
      </c>
      <c r="N6" s="11">
        <f t="shared" si="2"/>
        <v>2866.16</v>
      </c>
      <c r="O6" s="9" t="b">
        <v>0</v>
      </c>
      <c r="P6" s="12"/>
      <c r="Q6" s="13"/>
      <c r="R6" s="12"/>
      <c r="S6" s="12"/>
      <c r="T6" s="12"/>
      <c r="U6" s="12"/>
      <c r="V6" s="14">
        <f t="shared" si="3"/>
        <v>2866.16</v>
      </c>
    </row>
    <row r="7" spans="1:28" ht="12.5">
      <c r="A7" s="6" t="s">
        <v>43</v>
      </c>
      <c r="B7" s="6" t="s">
        <v>44</v>
      </c>
      <c r="C7" s="7">
        <v>289.10000000000002</v>
      </c>
      <c r="D7" s="6">
        <v>1</v>
      </c>
      <c r="E7" s="6">
        <v>1</v>
      </c>
      <c r="F7" s="6">
        <f t="shared" si="0"/>
        <v>1</v>
      </c>
      <c r="G7" s="6" t="s">
        <v>45</v>
      </c>
      <c r="H7" s="6" t="s">
        <v>25</v>
      </c>
      <c r="I7" s="19" t="s">
        <v>46</v>
      </c>
      <c r="J7" s="9"/>
      <c r="K7" s="9"/>
      <c r="L7" s="9"/>
      <c r="M7" s="10">
        <f t="shared" si="1"/>
        <v>289.10000000000002</v>
      </c>
      <c r="N7" s="11">
        <f t="shared" si="2"/>
        <v>3155.2599999999998</v>
      </c>
      <c r="O7" s="9" t="b">
        <v>0</v>
      </c>
      <c r="P7" s="12"/>
      <c r="Q7" s="13"/>
      <c r="R7" s="20"/>
      <c r="S7" s="12"/>
      <c r="T7" s="12"/>
      <c r="U7" s="12"/>
      <c r="V7" s="14">
        <f t="shared" si="3"/>
        <v>3155.2599999999998</v>
      </c>
    </row>
    <row r="8" spans="1:28" ht="33">
      <c r="A8" s="6" t="s">
        <v>47</v>
      </c>
      <c r="B8" s="6" t="s">
        <v>48</v>
      </c>
      <c r="C8" s="7">
        <v>181</v>
      </c>
      <c r="D8" s="6">
        <v>1</v>
      </c>
      <c r="E8" s="6">
        <v>1</v>
      </c>
      <c r="F8" s="6">
        <f t="shared" si="0"/>
        <v>1</v>
      </c>
      <c r="G8" s="6" t="s">
        <v>49</v>
      </c>
      <c r="H8" s="6" t="s">
        <v>25</v>
      </c>
      <c r="I8" s="19" t="s">
        <v>50</v>
      </c>
      <c r="J8" s="9"/>
      <c r="K8" s="9"/>
      <c r="L8" s="9"/>
      <c r="M8" s="10">
        <f t="shared" si="1"/>
        <v>181</v>
      </c>
      <c r="N8" s="11">
        <f t="shared" si="2"/>
        <v>3336.2599999999998</v>
      </c>
      <c r="O8" s="9" t="b">
        <v>0</v>
      </c>
      <c r="P8" s="12"/>
      <c r="Q8" s="13"/>
      <c r="R8" s="20"/>
      <c r="S8" s="12"/>
      <c r="T8" s="12"/>
      <c r="U8" s="12"/>
      <c r="V8" s="14">
        <f t="shared" si="3"/>
        <v>3336.2599999999998</v>
      </c>
      <c r="W8" s="21" t="s">
        <v>51</v>
      </c>
    </row>
    <row r="9" spans="1:28" ht="37.5">
      <c r="A9" s="22" t="s">
        <v>52</v>
      </c>
      <c r="B9" s="23" t="s">
        <v>53</v>
      </c>
      <c r="C9" s="24">
        <v>226.91</v>
      </c>
      <c r="D9" s="23">
        <v>1</v>
      </c>
      <c r="E9" s="23">
        <v>1</v>
      </c>
      <c r="F9" s="23">
        <f t="shared" si="0"/>
        <v>1</v>
      </c>
      <c r="G9" s="23" t="s">
        <v>54</v>
      </c>
      <c r="H9" s="23" t="s">
        <v>25</v>
      </c>
      <c r="I9" s="25" t="s">
        <v>55</v>
      </c>
      <c r="J9" s="26"/>
      <c r="K9" s="26"/>
      <c r="L9" s="26"/>
      <c r="M9" s="27">
        <f t="shared" si="1"/>
        <v>226.91</v>
      </c>
      <c r="N9" s="28">
        <f t="shared" si="2"/>
        <v>3563.1699999999996</v>
      </c>
      <c r="O9" s="26" t="b">
        <v>0</v>
      </c>
      <c r="P9" s="12"/>
      <c r="Q9" s="13"/>
      <c r="R9" s="20"/>
      <c r="S9" s="12"/>
      <c r="T9" s="12"/>
      <c r="U9" s="12"/>
      <c r="V9" s="29">
        <f>M9</f>
        <v>226.91</v>
      </c>
    </row>
    <row r="10" spans="1:28" ht="50">
      <c r="A10" s="23" t="s">
        <v>56</v>
      </c>
      <c r="B10" s="23" t="s">
        <v>57</v>
      </c>
      <c r="C10" s="24">
        <v>226.91</v>
      </c>
      <c r="D10" s="23">
        <v>1</v>
      </c>
      <c r="E10" s="23">
        <v>2</v>
      </c>
      <c r="F10" s="23">
        <f t="shared" si="0"/>
        <v>2</v>
      </c>
      <c r="G10" s="23" t="s">
        <v>58</v>
      </c>
      <c r="H10" s="23" t="s">
        <v>25</v>
      </c>
      <c r="I10" s="25" t="s">
        <v>59</v>
      </c>
      <c r="J10" s="26"/>
      <c r="K10" s="26"/>
      <c r="L10" s="26"/>
      <c r="M10" s="27">
        <f t="shared" si="1"/>
        <v>453.82</v>
      </c>
      <c r="N10" s="28">
        <f t="shared" si="2"/>
        <v>4016.99</v>
      </c>
      <c r="O10" s="26" t="b">
        <v>0</v>
      </c>
      <c r="P10" s="12"/>
      <c r="Q10" s="13"/>
      <c r="R10" s="12"/>
      <c r="S10" s="12"/>
      <c r="T10" s="12"/>
      <c r="U10" s="12"/>
      <c r="V10" s="29">
        <f t="shared" ref="V10:V29" si="4">V9+M10</f>
        <v>680.73</v>
      </c>
    </row>
    <row r="11" spans="1:28" ht="50">
      <c r="A11" s="30" t="s">
        <v>60</v>
      </c>
      <c r="B11" s="23" t="s">
        <v>61</v>
      </c>
      <c r="C11" s="24">
        <v>226.91</v>
      </c>
      <c r="D11" s="23">
        <v>1</v>
      </c>
      <c r="E11" s="23">
        <v>5</v>
      </c>
      <c r="F11" s="23">
        <f t="shared" si="0"/>
        <v>5</v>
      </c>
      <c r="G11" s="23" t="s">
        <v>49</v>
      </c>
      <c r="H11" s="23" t="s">
        <v>25</v>
      </c>
      <c r="I11" s="25" t="s">
        <v>50</v>
      </c>
      <c r="J11" s="26"/>
      <c r="K11" s="26"/>
      <c r="L11" s="26"/>
      <c r="M11" s="27">
        <f t="shared" si="1"/>
        <v>1134.55</v>
      </c>
      <c r="N11" s="28">
        <f t="shared" si="2"/>
        <v>5151.54</v>
      </c>
      <c r="O11" s="26" t="b">
        <v>0</v>
      </c>
      <c r="P11" s="12"/>
      <c r="Q11" s="13"/>
      <c r="R11" s="20"/>
      <c r="S11" s="12"/>
      <c r="T11" s="12"/>
      <c r="U11" s="12"/>
      <c r="V11" s="29">
        <f t="shared" si="4"/>
        <v>1815.28</v>
      </c>
    </row>
    <row r="12" spans="1:28" ht="37.5">
      <c r="A12" s="23" t="s">
        <v>62</v>
      </c>
      <c r="B12" s="23" t="s">
        <v>63</v>
      </c>
      <c r="C12" s="24">
        <v>26.91</v>
      </c>
      <c r="D12" s="23">
        <v>1</v>
      </c>
      <c r="E12" s="23">
        <v>3</v>
      </c>
      <c r="F12" s="23">
        <f t="shared" si="0"/>
        <v>3</v>
      </c>
      <c r="G12" s="23" t="s">
        <v>64</v>
      </c>
      <c r="H12" s="23" t="s">
        <v>25</v>
      </c>
      <c r="I12" s="25" t="s">
        <v>65</v>
      </c>
      <c r="J12" s="26"/>
      <c r="K12" s="26"/>
      <c r="L12" s="26"/>
      <c r="M12" s="27">
        <f t="shared" si="1"/>
        <v>80.73</v>
      </c>
      <c r="N12" s="28">
        <f t="shared" si="2"/>
        <v>5232.2699999999995</v>
      </c>
      <c r="O12" s="26" t="b">
        <v>0</v>
      </c>
      <c r="P12" s="12"/>
      <c r="Q12" s="13"/>
      <c r="R12" s="12"/>
      <c r="S12" s="12"/>
      <c r="T12" s="12"/>
      <c r="U12" s="12"/>
      <c r="V12" s="29">
        <f t="shared" si="4"/>
        <v>1896.01</v>
      </c>
    </row>
    <row r="13" spans="1:28" ht="25">
      <c r="A13" s="23" t="s">
        <v>66</v>
      </c>
      <c r="B13" s="23" t="s">
        <v>67</v>
      </c>
      <c r="C13" s="24">
        <v>507.24</v>
      </c>
      <c r="D13" s="23">
        <v>1</v>
      </c>
      <c r="E13" s="23">
        <v>2</v>
      </c>
      <c r="F13" s="23">
        <f t="shared" si="0"/>
        <v>2</v>
      </c>
      <c r="G13" s="23" t="s">
        <v>68</v>
      </c>
      <c r="H13" s="23" t="s">
        <v>69</v>
      </c>
      <c r="I13" s="25" t="s">
        <v>70</v>
      </c>
      <c r="J13" s="26"/>
      <c r="K13" s="26"/>
      <c r="L13" s="26"/>
      <c r="M13" s="27">
        <f t="shared" si="1"/>
        <v>1014.48</v>
      </c>
      <c r="N13" s="28">
        <f t="shared" si="2"/>
        <v>6246.75</v>
      </c>
      <c r="O13" s="26" t="b">
        <v>0</v>
      </c>
      <c r="P13" s="12"/>
      <c r="Q13" s="13"/>
      <c r="R13" s="20"/>
      <c r="S13" s="12"/>
      <c r="T13" s="12"/>
      <c r="U13" s="12"/>
      <c r="V13" s="29">
        <f t="shared" si="4"/>
        <v>2910.49</v>
      </c>
    </row>
    <row r="14" spans="1:28" ht="25">
      <c r="A14" s="23" t="s">
        <v>71</v>
      </c>
      <c r="B14" s="23" t="s">
        <v>72</v>
      </c>
      <c r="C14" s="24">
        <v>4.1100000000000003</v>
      </c>
      <c r="D14" s="23">
        <v>1</v>
      </c>
      <c r="E14" s="23">
        <v>16</v>
      </c>
      <c r="F14" s="23">
        <f t="shared" si="0"/>
        <v>16</v>
      </c>
      <c r="G14" s="23" t="s">
        <v>73</v>
      </c>
      <c r="H14" s="23" t="s">
        <v>74</v>
      </c>
      <c r="I14" s="25" t="s">
        <v>75</v>
      </c>
      <c r="J14" s="26"/>
      <c r="K14" s="26"/>
      <c r="L14" s="26"/>
      <c r="M14" s="27">
        <f t="shared" si="1"/>
        <v>65.760000000000005</v>
      </c>
      <c r="N14" s="28">
        <f t="shared" si="2"/>
        <v>6312.51</v>
      </c>
      <c r="O14" s="26" t="b">
        <v>0</v>
      </c>
      <c r="P14" s="12"/>
      <c r="Q14" s="13"/>
      <c r="R14" s="20"/>
      <c r="S14" s="12"/>
      <c r="T14" s="12"/>
      <c r="U14" s="12"/>
      <c r="V14" s="29">
        <f t="shared" si="4"/>
        <v>2976.25</v>
      </c>
    </row>
    <row r="15" spans="1:28" ht="37.5">
      <c r="A15" s="23" t="s">
        <v>76</v>
      </c>
      <c r="B15" s="23" t="s">
        <v>77</v>
      </c>
      <c r="C15" s="24">
        <v>12.86</v>
      </c>
      <c r="D15" s="23">
        <v>5</v>
      </c>
      <c r="E15" s="23">
        <v>1</v>
      </c>
      <c r="F15" s="23">
        <f t="shared" si="0"/>
        <v>1</v>
      </c>
      <c r="G15" s="31" t="s">
        <v>78</v>
      </c>
      <c r="H15" s="23" t="s">
        <v>79</v>
      </c>
      <c r="I15" s="25" t="s">
        <v>80</v>
      </c>
      <c r="J15" s="26"/>
      <c r="K15" s="26"/>
      <c r="L15" s="26"/>
      <c r="M15" s="27">
        <f t="shared" si="1"/>
        <v>12.86</v>
      </c>
      <c r="N15" s="28">
        <f t="shared" si="2"/>
        <v>6325.37</v>
      </c>
      <c r="O15" s="26" t="b">
        <v>0</v>
      </c>
      <c r="P15" s="12"/>
      <c r="Q15" s="13"/>
      <c r="R15" s="20"/>
      <c r="S15" s="12"/>
      <c r="T15" s="12"/>
      <c r="U15" s="12"/>
      <c r="V15" s="29">
        <f t="shared" si="4"/>
        <v>2989.11</v>
      </c>
    </row>
    <row r="16" spans="1:28" ht="12.5">
      <c r="A16" s="23" t="s">
        <v>81</v>
      </c>
      <c r="B16" s="23" t="s">
        <v>82</v>
      </c>
      <c r="C16" s="24">
        <v>64.22</v>
      </c>
      <c r="D16" s="23">
        <v>1</v>
      </c>
      <c r="E16" s="23">
        <v>2</v>
      </c>
      <c r="F16" s="23">
        <f t="shared" si="0"/>
        <v>2</v>
      </c>
      <c r="G16" s="31" t="s">
        <v>83</v>
      </c>
      <c r="H16" s="23" t="s">
        <v>79</v>
      </c>
      <c r="I16" s="25" t="s">
        <v>84</v>
      </c>
      <c r="J16" s="26"/>
      <c r="K16" s="26"/>
      <c r="L16" s="26"/>
      <c r="M16" s="27">
        <f t="shared" si="1"/>
        <v>128.44</v>
      </c>
      <c r="N16" s="28">
        <f t="shared" si="2"/>
        <v>6453.8099999999995</v>
      </c>
      <c r="O16" s="26" t="b">
        <v>0</v>
      </c>
      <c r="P16" s="12"/>
      <c r="Q16" s="13"/>
      <c r="R16" s="32"/>
      <c r="S16" s="12"/>
      <c r="T16" s="12"/>
      <c r="U16" s="12"/>
      <c r="V16" s="29">
        <f t="shared" si="4"/>
        <v>3117.55</v>
      </c>
    </row>
    <row r="17" spans="1:26" ht="37.5">
      <c r="A17" s="33" t="s">
        <v>85</v>
      </c>
      <c r="B17" s="23" t="s">
        <v>86</v>
      </c>
      <c r="C17" s="24">
        <v>8.7799999999999994</v>
      </c>
      <c r="D17" s="23">
        <v>12</v>
      </c>
      <c r="E17" s="23">
        <v>35</v>
      </c>
      <c r="F17" s="23">
        <f t="shared" si="0"/>
        <v>3</v>
      </c>
      <c r="G17" s="31" t="s">
        <v>87</v>
      </c>
      <c r="H17" s="23" t="s">
        <v>79</v>
      </c>
      <c r="I17" s="34" t="s">
        <v>88</v>
      </c>
      <c r="J17" s="26"/>
      <c r="K17" s="26"/>
      <c r="L17" s="26"/>
      <c r="M17" s="27">
        <f t="shared" si="1"/>
        <v>26.339999999999996</v>
      </c>
      <c r="N17" s="28">
        <f t="shared" si="2"/>
        <v>6480.15</v>
      </c>
      <c r="O17" s="26" t="b">
        <v>0</v>
      </c>
      <c r="P17" s="12"/>
      <c r="Q17" s="13"/>
      <c r="R17" s="32"/>
      <c r="S17" s="12"/>
      <c r="T17" s="12"/>
      <c r="U17" s="12"/>
      <c r="V17" s="29">
        <f t="shared" si="4"/>
        <v>3143.8900000000003</v>
      </c>
    </row>
    <row r="18" spans="1:26" ht="37.5">
      <c r="A18" s="23" t="s">
        <v>89</v>
      </c>
      <c r="B18" s="23" t="s">
        <v>90</v>
      </c>
      <c r="C18" s="24">
        <v>19.670000000000002</v>
      </c>
      <c r="D18" s="23">
        <v>50</v>
      </c>
      <c r="E18" s="23">
        <v>8</v>
      </c>
      <c r="F18" s="23">
        <f t="shared" si="0"/>
        <v>1</v>
      </c>
      <c r="G18" s="31" t="s">
        <v>91</v>
      </c>
      <c r="H18" s="23" t="s">
        <v>79</v>
      </c>
      <c r="I18" s="34" t="s">
        <v>92</v>
      </c>
      <c r="J18" s="26"/>
      <c r="K18" s="26"/>
      <c r="L18" s="26"/>
      <c r="M18" s="27">
        <f t="shared" si="1"/>
        <v>19.670000000000002</v>
      </c>
      <c r="N18" s="28">
        <f t="shared" si="2"/>
        <v>6499.82</v>
      </c>
      <c r="O18" s="26" t="b">
        <v>0</v>
      </c>
      <c r="P18" s="12"/>
      <c r="Q18" s="13"/>
      <c r="R18" s="32"/>
      <c r="S18" s="12"/>
      <c r="T18" s="12"/>
      <c r="U18" s="12"/>
      <c r="V18" s="29">
        <f t="shared" si="4"/>
        <v>3163.5600000000004</v>
      </c>
    </row>
    <row r="19" spans="1:26" ht="50">
      <c r="A19" s="23" t="s">
        <v>93</v>
      </c>
      <c r="B19" s="23" t="s">
        <v>94</v>
      </c>
      <c r="C19" s="24">
        <v>16.66</v>
      </c>
      <c r="D19" s="23">
        <v>100</v>
      </c>
      <c r="E19" s="23">
        <v>4</v>
      </c>
      <c r="F19" s="23">
        <f t="shared" si="0"/>
        <v>1</v>
      </c>
      <c r="G19" s="31" t="s">
        <v>95</v>
      </c>
      <c r="H19" s="23" t="s">
        <v>79</v>
      </c>
      <c r="I19" s="34" t="s">
        <v>96</v>
      </c>
      <c r="J19" s="26"/>
      <c r="K19" s="26"/>
      <c r="L19" s="26"/>
      <c r="M19" s="27">
        <f t="shared" si="1"/>
        <v>16.66</v>
      </c>
      <c r="N19" s="28">
        <f t="shared" si="2"/>
        <v>6516.48</v>
      </c>
      <c r="O19" s="26" t="b">
        <v>0</v>
      </c>
      <c r="P19" s="12"/>
      <c r="Q19" s="13"/>
      <c r="R19" s="20"/>
      <c r="S19" s="12"/>
      <c r="T19" s="12"/>
      <c r="U19" s="12"/>
      <c r="V19" s="29">
        <f t="shared" si="4"/>
        <v>3180.2200000000003</v>
      </c>
    </row>
    <row r="20" spans="1:26" ht="50">
      <c r="A20" s="23" t="s">
        <v>97</v>
      </c>
      <c r="B20" s="23" t="s">
        <v>94</v>
      </c>
      <c r="C20" s="24">
        <v>3.52</v>
      </c>
      <c r="D20" s="23">
        <v>100</v>
      </c>
      <c r="E20" s="23">
        <v>4</v>
      </c>
      <c r="F20" s="23">
        <f t="shared" si="0"/>
        <v>1</v>
      </c>
      <c r="G20" s="31" t="s">
        <v>98</v>
      </c>
      <c r="H20" s="23" t="s">
        <v>79</v>
      </c>
      <c r="I20" s="34" t="s">
        <v>99</v>
      </c>
      <c r="J20" s="26"/>
      <c r="K20" s="26"/>
      <c r="L20" s="26"/>
      <c r="M20" s="27">
        <f t="shared" si="1"/>
        <v>3.52</v>
      </c>
      <c r="N20" s="28">
        <f t="shared" si="2"/>
        <v>6520</v>
      </c>
      <c r="O20" s="26" t="b">
        <v>0</v>
      </c>
      <c r="P20" s="12"/>
      <c r="Q20" s="13"/>
      <c r="R20" s="20"/>
      <c r="S20" s="12"/>
      <c r="T20" s="12"/>
      <c r="U20" s="12"/>
      <c r="V20" s="29">
        <f t="shared" si="4"/>
        <v>3183.7400000000002</v>
      </c>
    </row>
    <row r="21" spans="1:26" ht="62.5">
      <c r="A21" s="33" t="s">
        <v>100</v>
      </c>
      <c r="B21" s="33" t="s">
        <v>101</v>
      </c>
      <c r="C21" s="24">
        <v>5.36</v>
      </c>
      <c r="D21" s="23">
        <v>100</v>
      </c>
      <c r="E21" s="23">
        <v>324</v>
      </c>
      <c r="F21" s="23">
        <f t="shared" si="0"/>
        <v>4</v>
      </c>
      <c r="G21" s="31" t="s">
        <v>102</v>
      </c>
      <c r="H21" s="23" t="s">
        <v>79</v>
      </c>
      <c r="I21" s="34" t="s">
        <v>103</v>
      </c>
      <c r="J21" s="26"/>
      <c r="K21" s="26"/>
      <c r="L21" s="26"/>
      <c r="M21" s="27">
        <f t="shared" si="1"/>
        <v>21.44</v>
      </c>
      <c r="N21" s="28">
        <f t="shared" si="2"/>
        <v>6541.44</v>
      </c>
      <c r="O21" s="26" t="b">
        <v>0</v>
      </c>
      <c r="P21" s="12"/>
      <c r="Q21" s="13"/>
      <c r="R21" s="20"/>
      <c r="S21" s="12"/>
      <c r="T21" s="12"/>
      <c r="U21" s="12"/>
      <c r="V21" s="29">
        <f t="shared" si="4"/>
        <v>3205.1800000000003</v>
      </c>
    </row>
    <row r="22" spans="1:26" ht="37.5">
      <c r="A22" s="23" t="s">
        <v>104</v>
      </c>
      <c r="B22" s="23" t="s">
        <v>105</v>
      </c>
      <c r="C22" s="35">
        <v>6.26</v>
      </c>
      <c r="D22" s="23">
        <v>100</v>
      </c>
      <c r="E22" s="23">
        <v>8</v>
      </c>
      <c r="F22" s="23">
        <f t="shared" si="0"/>
        <v>1</v>
      </c>
      <c r="G22" s="31" t="s">
        <v>106</v>
      </c>
      <c r="H22" s="23" t="s">
        <v>79</v>
      </c>
      <c r="I22" s="36" t="s">
        <v>107</v>
      </c>
      <c r="J22" s="26"/>
      <c r="K22" s="26"/>
      <c r="L22" s="26"/>
      <c r="M22" s="27">
        <f t="shared" si="1"/>
        <v>6.26</v>
      </c>
      <c r="N22" s="28">
        <f t="shared" si="2"/>
        <v>6547.7</v>
      </c>
      <c r="O22" s="26" t="b">
        <v>0</v>
      </c>
      <c r="P22" s="12"/>
      <c r="Q22" s="13"/>
      <c r="R22" s="12"/>
      <c r="S22" s="12"/>
      <c r="T22" s="12"/>
      <c r="U22" s="12"/>
      <c r="V22" s="29">
        <f t="shared" si="4"/>
        <v>3211.4400000000005</v>
      </c>
    </row>
    <row r="23" spans="1:26" ht="50">
      <c r="A23" s="23" t="s">
        <v>108</v>
      </c>
      <c r="B23" s="23" t="s">
        <v>109</v>
      </c>
      <c r="C23" s="24">
        <v>7.48</v>
      </c>
      <c r="D23" s="23">
        <v>12</v>
      </c>
      <c r="E23" s="23">
        <v>80</v>
      </c>
      <c r="F23" s="23">
        <f t="shared" si="0"/>
        <v>7</v>
      </c>
      <c r="G23" s="31" t="s">
        <v>110</v>
      </c>
      <c r="H23" s="23" t="s">
        <v>79</v>
      </c>
      <c r="I23" s="25" t="s">
        <v>111</v>
      </c>
      <c r="J23" s="26"/>
      <c r="K23" s="26"/>
      <c r="L23" s="26"/>
      <c r="M23" s="27">
        <f t="shared" si="1"/>
        <v>52.36</v>
      </c>
      <c r="N23" s="28">
        <f t="shared" si="2"/>
        <v>6600.0599999999995</v>
      </c>
      <c r="O23" s="26" t="b">
        <v>0</v>
      </c>
      <c r="P23" s="12"/>
      <c r="Q23" s="13"/>
      <c r="R23" s="12"/>
      <c r="S23" s="12"/>
      <c r="T23" s="12"/>
      <c r="U23" s="12"/>
      <c r="V23" s="29">
        <f t="shared" si="4"/>
        <v>3263.8000000000006</v>
      </c>
    </row>
    <row r="24" spans="1:26" ht="25">
      <c r="A24" s="23" t="s">
        <v>112</v>
      </c>
      <c r="B24" s="23" t="s">
        <v>113</v>
      </c>
      <c r="C24" s="24">
        <v>9.35</v>
      </c>
      <c r="D24" s="23">
        <v>5</v>
      </c>
      <c r="E24" s="23">
        <v>3</v>
      </c>
      <c r="F24" s="23">
        <f t="shared" si="0"/>
        <v>1</v>
      </c>
      <c r="G24" s="37" t="s">
        <v>114</v>
      </c>
      <c r="H24" s="23" t="s">
        <v>79</v>
      </c>
      <c r="I24" s="25" t="s">
        <v>115</v>
      </c>
      <c r="J24" s="26"/>
      <c r="K24" s="26"/>
      <c r="L24" s="26"/>
      <c r="M24" s="27">
        <f t="shared" si="1"/>
        <v>9.35</v>
      </c>
      <c r="N24" s="28">
        <f t="shared" si="2"/>
        <v>6609.41</v>
      </c>
      <c r="O24" s="26"/>
      <c r="P24" s="12"/>
      <c r="Q24" s="13"/>
      <c r="R24" s="12"/>
      <c r="S24" s="12"/>
      <c r="T24" s="12"/>
      <c r="U24" s="12"/>
      <c r="V24" s="29">
        <f t="shared" si="4"/>
        <v>3273.1500000000005</v>
      </c>
    </row>
    <row r="25" spans="1:26" ht="37.5">
      <c r="A25" s="23" t="s">
        <v>89</v>
      </c>
      <c r="B25" s="23" t="s">
        <v>116</v>
      </c>
      <c r="C25" s="24">
        <v>9.86</v>
      </c>
      <c r="D25" s="23">
        <v>100</v>
      </c>
      <c r="E25" s="23">
        <v>12</v>
      </c>
      <c r="F25" s="23">
        <f t="shared" si="0"/>
        <v>1</v>
      </c>
      <c r="G25" s="38" t="s">
        <v>117</v>
      </c>
      <c r="H25" s="23" t="s">
        <v>79</v>
      </c>
      <c r="I25" s="39" t="s">
        <v>118</v>
      </c>
      <c r="J25" s="23"/>
      <c r="K25" s="23"/>
      <c r="L25" s="23"/>
      <c r="M25" s="27">
        <f t="shared" si="1"/>
        <v>9.86</v>
      </c>
      <c r="N25" s="28">
        <f t="shared" si="2"/>
        <v>6619.2699999999995</v>
      </c>
      <c r="O25" s="26"/>
      <c r="P25" s="12"/>
      <c r="Q25" s="13"/>
      <c r="R25" s="12"/>
      <c r="S25" s="12"/>
      <c r="T25" s="12"/>
      <c r="U25" s="12"/>
      <c r="V25" s="29">
        <f t="shared" si="4"/>
        <v>3283.0100000000007</v>
      </c>
    </row>
    <row r="26" spans="1:26" ht="25">
      <c r="A26" s="23" t="s">
        <v>119</v>
      </c>
      <c r="B26" s="23" t="s">
        <v>120</v>
      </c>
      <c r="C26" s="24">
        <v>8.83</v>
      </c>
      <c r="D26" s="23">
        <v>100</v>
      </c>
      <c r="E26" s="23">
        <v>24</v>
      </c>
      <c r="F26" s="23">
        <f t="shared" si="0"/>
        <v>1</v>
      </c>
      <c r="G26" s="40" t="s">
        <v>121</v>
      </c>
      <c r="H26" s="23" t="s">
        <v>79</v>
      </c>
      <c r="I26" s="25" t="s">
        <v>122</v>
      </c>
      <c r="J26" s="26"/>
      <c r="K26" s="26"/>
      <c r="L26" s="26"/>
      <c r="M26" s="27">
        <f t="shared" si="1"/>
        <v>8.83</v>
      </c>
      <c r="N26" s="28">
        <f t="shared" si="2"/>
        <v>6628.0999999999995</v>
      </c>
      <c r="O26" s="26"/>
      <c r="P26" s="12"/>
      <c r="Q26" s="13"/>
      <c r="R26" s="12"/>
      <c r="S26" s="12"/>
      <c r="T26" s="12"/>
      <c r="U26" s="12"/>
      <c r="V26" s="29">
        <f t="shared" si="4"/>
        <v>3291.8400000000006</v>
      </c>
    </row>
    <row r="27" spans="1:26" ht="37.5">
      <c r="A27" s="41" t="s">
        <v>123</v>
      </c>
      <c r="B27" s="41" t="s">
        <v>124</v>
      </c>
      <c r="C27" s="42">
        <v>6.61</v>
      </c>
      <c r="D27" s="23">
        <v>1</v>
      </c>
      <c r="E27" s="23">
        <v>8</v>
      </c>
      <c r="F27" s="23">
        <f t="shared" si="0"/>
        <v>8</v>
      </c>
      <c r="G27" s="43" t="s">
        <v>125</v>
      </c>
      <c r="H27" s="44" t="s">
        <v>79</v>
      </c>
      <c r="I27" s="45" t="s">
        <v>126</v>
      </c>
      <c r="J27" s="26"/>
      <c r="K27" s="26"/>
      <c r="L27" s="26"/>
      <c r="M27" s="27">
        <f t="shared" si="1"/>
        <v>52.88</v>
      </c>
      <c r="N27" s="28">
        <f t="shared" si="2"/>
        <v>6680.98</v>
      </c>
      <c r="O27" s="26"/>
      <c r="P27" s="12"/>
      <c r="Q27" s="13"/>
      <c r="R27" s="20"/>
      <c r="S27" s="12"/>
      <c r="T27" s="12"/>
      <c r="U27" s="12"/>
      <c r="V27" s="29">
        <f t="shared" si="4"/>
        <v>3344.7200000000007</v>
      </c>
    </row>
    <row r="28" spans="1:26" ht="37.5">
      <c r="A28" s="41" t="s">
        <v>127</v>
      </c>
      <c r="B28" s="41" t="s">
        <v>128</v>
      </c>
      <c r="C28" s="46">
        <v>13.1</v>
      </c>
      <c r="D28" s="41">
        <v>100</v>
      </c>
      <c r="E28" s="41">
        <v>8</v>
      </c>
      <c r="F28" s="23">
        <f t="shared" si="0"/>
        <v>1</v>
      </c>
      <c r="G28" s="38" t="s">
        <v>129</v>
      </c>
      <c r="H28" s="44" t="s">
        <v>79</v>
      </c>
      <c r="I28" s="47" t="s">
        <v>130</v>
      </c>
      <c r="J28" s="44"/>
      <c r="K28" s="44"/>
      <c r="L28" s="44"/>
      <c r="M28" s="27">
        <f t="shared" si="1"/>
        <v>13.1</v>
      </c>
      <c r="N28" s="28">
        <f t="shared" si="2"/>
        <v>6694.08</v>
      </c>
      <c r="O28" s="26"/>
      <c r="Q28" s="48"/>
      <c r="S28" s="49"/>
      <c r="V28" s="29">
        <f t="shared" si="4"/>
        <v>3357.8200000000006</v>
      </c>
    </row>
    <row r="29" spans="1:26" ht="37.5">
      <c r="A29" s="41" t="s">
        <v>131</v>
      </c>
      <c r="B29" s="41" t="s">
        <v>132</v>
      </c>
      <c r="C29" s="46">
        <v>7.36</v>
      </c>
      <c r="D29" s="41">
        <v>1</v>
      </c>
      <c r="E29" s="41">
        <v>4</v>
      </c>
      <c r="F29" s="23">
        <f t="shared" si="0"/>
        <v>4</v>
      </c>
      <c r="G29" s="38" t="s">
        <v>125</v>
      </c>
      <c r="H29" s="44" t="s">
        <v>79</v>
      </c>
      <c r="I29" s="47" t="s">
        <v>126</v>
      </c>
      <c r="J29" s="44"/>
      <c r="K29" s="44"/>
      <c r="L29" s="44"/>
      <c r="M29" s="27">
        <f t="shared" si="1"/>
        <v>29.44</v>
      </c>
      <c r="N29" s="28">
        <f t="shared" si="2"/>
        <v>6723.5199999999995</v>
      </c>
      <c r="O29" s="26"/>
      <c r="Q29" s="48"/>
      <c r="V29" s="29">
        <f t="shared" si="4"/>
        <v>3387.2600000000007</v>
      </c>
    </row>
    <row r="30" spans="1:26" ht="37.5">
      <c r="A30" s="50" t="s">
        <v>133</v>
      </c>
      <c r="B30" s="51" t="s">
        <v>120</v>
      </c>
      <c r="C30" s="52">
        <v>14.3</v>
      </c>
      <c r="D30" s="50">
        <v>50</v>
      </c>
      <c r="E30" s="50">
        <v>12</v>
      </c>
      <c r="F30" s="51">
        <f t="shared" si="0"/>
        <v>1</v>
      </c>
      <c r="G30" s="53" t="s">
        <v>134</v>
      </c>
      <c r="H30" s="54" t="s">
        <v>79</v>
      </c>
      <c r="I30" s="55" t="s">
        <v>135</v>
      </c>
      <c r="J30" s="54"/>
      <c r="K30" s="54"/>
      <c r="L30" s="54"/>
      <c r="M30" s="56">
        <f t="shared" si="1"/>
        <v>14.3</v>
      </c>
      <c r="N30" s="57">
        <f t="shared" si="2"/>
        <v>6737.82</v>
      </c>
      <c r="O30" s="58"/>
      <c r="Q30" s="48"/>
    </row>
    <row r="31" spans="1:26" ht="37.5">
      <c r="A31" s="50" t="s">
        <v>136</v>
      </c>
      <c r="B31" s="59" t="s">
        <v>137</v>
      </c>
      <c r="C31" s="52">
        <v>3.8</v>
      </c>
      <c r="D31" s="50">
        <v>1</v>
      </c>
      <c r="E31" s="50">
        <v>4</v>
      </c>
      <c r="F31" s="51">
        <f>CEILING(E31/$D$27,1)</f>
        <v>4</v>
      </c>
      <c r="G31" s="53" t="s">
        <v>138</v>
      </c>
      <c r="H31" s="54" t="s">
        <v>79</v>
      </c>
      <c r="I31" s="60" t="s">
        <v>139</v>
      </c>
      <c r="J31" s="61"/>
      <c r="K31" s="62"/>
      <c r="L31" s="54"/>
      <c r="M31" s="56">
        <f t="shared" si="1"/>
        <v>15.2</v>
      </c>
      <c r="N31" s="57">
        <f t="shared" si="2"/>
        <v>6753.0199999999995</v>
      </c>
      <c r="O31" s="58"/>
      <c r="P31" s="63"/>
      <c r="Q31" s="48"/>
    </row>
    <row r="32" spans="1:26" ht="12.5">
      <c r="A32" s="63"/>
      <c r="B32" s="64"/>
      <c r="C32" s="29"/>
      <c r="D32" s="63"/>
      <c r="E32" s="63"/>
      <c r="G32" s="65"/>
      <c r="H32" s="66"/>
      <c r="I32" s="63"/>
      <c r="N32" s="67"/>
      <c r="Q32" s="48"/>
      <c r="Z32" s="68"/>
    </row>
    <row r="33" spans="1:26" ht="12.5">
      <c r="A33" s="63"/>
      <c r="B33" s="63"/>
      <c r="C33" s="14"/>
      <c r="D33" s="63"/>
      <c r="E33" s="63"/>
      <c r="F33" s="63"/>
      <c r="G33" s="69"/>
      <c r="H33" s="66"/>
      <c r="I33" s="63"/>
      <c r="N33" s="67"/>
      <c r="Q33" s="48"/>
      <c r="Z33" s="70"/>
    </row>
    <row r="34" spans="1:26" ht="12.5">
      <c r="A34" s="63"/>
      <c r="B34" s="63"/>
      <c r="C34" s="29"/>
      <c r="D34" s="63"/>
      <c r="E34" s="63"/>
      <c r="G34" s="65"/>
      <c r="H34" s="66"/>
      <c r="I34" s="63"/>
      <c r="N34" s="67"/>
      <c r="Q34" s="48"/>
    </row>
    <row r="35" spans="1:26" ht="12.5">
      <c r="A35" s="63"/>
      <c r="B35" s="63"/>
      <c r="C35" s="29"/>
      <c r="D35" s="63"/>
      <c r="E35" s="63"/>
      <c r="G35" s="65"/>
      <c r="H35" s="66"/>
      <c r="I35" s="63"/>
      <c r="N35" s="67"/>
      <c r="Q35" s="48"/>
    </row>
    <row r="36" spans="1:26" ht="12.5">
      <c r="A36" s="63"/>
      <c r="B36" s="63"/>
      <c r="C36" s="29"/>
      <c r="D36" s="63"/>
      <c r="E36" s="63"/>
      <c r="G36" s="65"/>
      <c r="H36" s="66"/>
      <c r="I36" s="63"/>
      <c r="N36" s="67"/>
      <c r="Q36" s="48"/>
      <c r="Z36" s="14"/>
    </row>
    <row r="37" spans="1:26" ht="12.5">
      <c r="A37" s="63"/>
      <c r="B37" s="63"/>
      <c r="C37" s="29"/>
      <c r="D37" s="63"/>
      <c r="E37" s="63"/>
      <c r="G37" s="65"/>
      <c r="H37" s="66"/>
      <c r="I37" s="63"/>
      <c r="N37" s="67"/>
      <c r="Q37" s="48"/>
    </row>
    <row r="38" spans="1:26" ht="12.5">
      <c r="A38" s="63"/>
      <c r="B38" s="63"/>
      <c r="C38" s="29"/>
      <c r="D38" s="63"/>
      <c r="E38" s="63"/>
      <c r="G38" s="65"/>
      <c r="H38" s="66"/>
      <c r="I38" s="63"/>
      <c r="N38" s="67"/>
      <c r="Q38" s="48"/>
    </row>
    <row r="39" spans="1:26" ht="12.5">
      <c r="A39" s="63"/>
      <c r="B39" s="63"/>
      <c r="C39" s="29"/>
      <c r="D39" s="63"/>
      <c r="E39" s="63"/>
      <c r="F39" s="63"/>
      <c r="H39" s="63"/>
      <c r="I39" s="63"/>
      <c r="N39" s="67"/>
      <c r="Q39" s="48"/>
    </row>
    <row r="40" spans="1:26" ht="12.5">
      <c r="A40" s="63"/>
      <c r="B40" s="63"/>
      <c r="C40" s="29"/>
      <c r="D40" s="63"/>
      <c r="E40" s="63"/>
      <c r="F40" s="63"/>
      <c r="H40" s="63"/>
      <c r="I40" s="63"/>
      <c r="N40" s="67"/>
      <c r="Q40" s="48"/>
    </row>
    <row r="41" spans="1:26" ht="12.5">
      <c r="A41" s="63"/>
      <c r="B41" s="63"/>
      <c r="C41" s="29"/>
      <c r="D41" s="63"/>
      <c r="E41" s="63"/>
      <c r="F41" s="63"/>
      <c r="H41" s="63"/>
      <c r="I41" s="63"/>
      <c r="N41" s="67"/>
      <c r="Q41" s="48"/>
    </row>
    <row r="42" spans="1:26" ht="12.5">
      <c r="I42" s="63"/>
      <c r="Q42" s="48"/>
    </row>
    <row r="43" spans="1:26" ht="12.5">
      <c r="G43" s="71"/>
      <c r="I43" s="63"/>
      <c r="L43" s="72" t="s">
        <v>140</v>
      </c>
      <c r="M43" s="73">
        <f>SUM(M2:M41)</f>
        <v>6753.0199999999995</v>
      </c>
      <c r="Q43" s="48"/>
    </row>
    <row r="44" spans="1:26" ht="12.5">
      <c r="G44" s="71"/>
      <c r="I44" s="63"/>
      <c r="Q44" s="48"/>
    </row>
    <row r="45" spans="1:26" ht="12.5">
      <c r="G45" s="71"/>
      <c r="I45" s="63"/>
      <c r="Q45" s="48"/>
    </row>
    <row r="46" spans="1:26" ht="12.5">
      <c r="G46" s="71"/>
      <c r="I46" s="63"/>
      <c r="Q46" s="48"/>
    </row>
    <row r="47" spans="1:26" ht="12.5">
      <c r="G47" s="71"/>
      <c r="I47" s="63"/>
      <c r="Q47" s="48"/>
    </row>
    <row r="48" spans="1:26" ht="12.5">
      <c r="G48" s="71"/>
      <c r="I48" s="63"/>
      <c r="Q48" s="48"/>
    </row>
    <row r="49" spans="3:17" ht="12.5">
      <c r="G49" s="71"/>
      <c r="I49" s="63"/>
      <c r="Q49" s="48"/>
    </row>
    <row r="50" spans="3:17" ht="12.5">
      <c r="G50" s="71"/>
      <c r="I50" s="63"/>
      <c r="Q50" s="48"/>
    </row>
    <row r="51" spans="3:17" ht="12.5">
      <c r="G51" s="71"/>
      <c r="I51" s="63"/>
      <c r="Q51" s="48"/>
    </row>
    <row r="52" spans="3:17" ht="12.5">
      <c r="G52" s="71"/>
      <c r="I52" s="63"/>
      <c r="Q52" s="48"/>
    </row>
    <row r="53" spans="3:17" ht="12.5">
      <c r="G53" s="71"/>
      <c r="I53" s="63"/>
      <c r="Q53" s="48"/>
    </row>
    <row r="54" spans="3:17" ht="12.5">
      <c r="G54" s="71"/>
      <c r="I54" s="63"/>
      <c r="Q54" s="48"/>
    </row>
    <row r="55" spans="3:17" ht="12.5">
      <c r="G55" s="71"/>
      <c r="I55" s="63"/>
      <c r="Q55" s="48"/>
    </row>
    <row r="56" spans="3:17" ht="12.5">
      <c r="G56" s="71"/>
      <c r="I56" s="63"/>
      <c r="Q56" s="48"/>
    </row>
    <row r="57" spans="3:17" ht="12.5">
      <c r="G57" s="71"/>
      <c r="I57" s="63"/>
      <c r="Q57" s="48"/>
    </row>
    <row r="58" spans="3:17" ht="12.5">
      <c r="C58" s="29"/>
      <c r="I58" s="63"/>
      <c r="N58" s="74"/>
      <c r="Q58" s="48"/>
    </row>
    <row r="59" spans="3:17" ht="12.5">
      <c r="C59" s="14"/>
      <c r="I59" s="63"/>
      <c r="N59" s="74"/>
      <c r="Q59" s="48"/>
    </row>
    <row r="60" spans="3:17" ht="12.5">
      <c r="G60" s="71"/>
      <c r="I60" s="63"/>
      <c r="Q60" s="48"/>
    </row>
    <row r="61" spans="3:17" ht="12.5">
      <c r="G61" s="71"/>
      <c r="I61" s="63"/>
      <c r="Q61" s="48"/>
    </row>
    <row r="62" spans="3:17" ht="12.5">
      <c r="G62" s="71"/>
      <c r="I62" s="63"/>
      <c r="Q62" s="48"/>
    </row>
    <row r="63" spans="3:17" ht="12.5">
      <c r="G63" s="71"/>
      <c r="I63" s="63"/>
      <c r="Q63" s="48"/>
    </row>
    <row r="64" spans="3:17" ht="12.5">
      <c r="G64" s="71"/>
      <c r="I64" s="63"/>
      <c r="Q64" s="48"/>
    </row>
    <row r="65" spans="7:17" ht="12.5">
      <c r="G65" s="71"/>
      <c r="I65" s="63"/>
      <c r="Q65" s="48"/>
    </row>
    <row r="66" spans="7:17" ht="12.5">
      <c r="G66" s="71"/>
      <c r="I66" s="63"/>
      <c r="Q66" s="48"/>
    </row>
    <row r="67" spans="7:17" ht="12.5">
      <c r="I67" s="63"/>
      <c r="Q67" s="48"/>
    </row>
    <row r="68" spans="7:17" ht="12.5">
      <c r="I68" s="63"/>
      <c r="Q68" s="48"/>
    </row>
    <row r="69" spans="7:17" ht="12.5">
      <c r="I69" s="63"/>
      <c r="Q69" s="48"/>
    </row>
    <row r="70" spans="7:17" ht="12.5">
      <c r="I70" s="63"/>
      <c r="Q70" s="48"/>
    </row>
    <row r="71" spans="7:17" ht="12.5">
      <c r="I71" s="63"/>
      <c r="Q71" s="48"/>
    </row>
    <row r="72" spans="7:17" ht="12.5">
      <c r="I72" s="63"/>
      <c r="Q72" s="48"/>
    </row>
    <row r="73" spans="7:17" ht="12.5">
      <c r="I73" s="63"/>
      <c r="Q73" s="48"/>
    </row>
    <row r="74" spans="7:17" ht="12.5">
      <c r="I74" s="63"/>
      <c r="Q74" s="48"/>
    </row>
    <row r="75" spans="7:17" ht="12.5">
      <c r="I75" s="63"/>
      <c r="Q75" s="48"/>
    </row>
    <row r="76" spans="7:17" ht="12.5">
      <c r="I76" s="63"/>
      <c r="Q76" s="48"/>
    </row>
    <row r="77" spans="7:17" ht="12.5">
      <c r="I77" s="63"/>
      <c r="Q77" s="48"/>
    </row>
    <row r="78" spans="7:17" ht="12.5">
      <c r="I78" s="63"/>
      <c r="Q78" s="48"/>
    </row>
    <row r="79" spans="7:17" ht="12.5">
      <c r="I79" s="63"/>
      <c r="Q79" s="48"/>
    </row>
    <row r="80" spans="7:17" ht="12.5">
      <c r="I80" s="63"/>
      <c r="Q80" s="48"/>
    </row>
    <row r="81" spans="9:17" ht="12.5">
      <c r="I81" s="63"/>
      <c r="Q81" s="48"/>
    </row>
    <row r="82" spans="9:17" ht="12.5">
      <c r="I82" s="63"/>
      <c r="Q82" s="48"/>
    </row>
    <row r="83" spans="9:17" ht="12.5">
      <c r="I83" s="63"/>
      <c r="Q83" s="48"/>
    </row>
    <row r="84" spans="9:17" ht="12.5">
      <c r="I84" s="63"/>
      <c r="Q84" s="48"/>
    </row>
    <row r="85" spans="9:17" ht="12.5">
      <c r="I85" s="63"/>
      <c r="Q85" s="48"/>
    </row>
    <row r="86" spans="9:17" ht="12.5">
      <c r="I86" s="63"/>
      <c r="Q86" s="48"/>
    </row>
    <row r="87" spans="9:17" ht="12.5">
      <c r="I87" s="63"/>
      <c r="Q87" s="48"/>
    </row>
    <row r="88" spans="9:17" ht="12.5">
      <c r="I88" s="63"/>
      <c r="Q88" s="48"/>
    </row>
    <row r="89" spans="9:17" ht="12.5">
      <c r="I89" s="63"/>
      <c r="Q89" s="48"/>
    </row>
    <row r="90" spans="9:17" ht="12.5">
      <c r="I90" s="63"/>
      <c r="Q90" s="48"/>
    </row>
    <row r="91" spans="9:17" ht="12.5">
      <c r="I91" s="63"/>
      <c r="Q91" s="48"/>
    </row>
    <row r="92" spans="9:17" ht="12.5">
      <c r="I92" s="63"/>
      <c r="Q92" s="48"/>
    </row>
    <row r="93" spans="9:17" ht="12.5">
      <c r="I93" s="63"/>
      <c r="Q93" s="48"/>
    </row>
    <row r="94" spans="9:17" ht="12.5">
      <c r="I94" s="63"/>
      <c r="Q94" s="48"/>
    </row>
    <row r="95" spans="9:17" ht="12.5">
      <c r="I95" s="63"/>
      <c r="Q95" s="48"/>
    </row>
    <row r="96" spans="9:17" ht="12.5">
      <c r="I96" s="63"/>
      <c r="Q96" s="48"/>
    </row>
    <row r="97" spans="9:17" ht="12.5">
      <c r="I97" s="63"/>
      <c r="Q97" s="48"/>
    </row>
    <row r="98" spans="9:17" ht="12.5">
      <c r="I98" s="63"/>
      <c r="Q98" s="48"/>
    </row>
    <row r="99" spans="9:17" ht="12.5">
      <c r="I99" s="63"/>
      <c r="Q99" s="48"/>
    </row>
    <row r="100" spans="9:17" ht="12.5">
      <c r="I100" s="63"/>
      <c r="Q100" s="48"/>
    </row>
    <row r="101" spans="9:17" ht="12.5">
      <c r="I101" s="63"/>
      <c r="Q101" s="48"/>
    </row>
    <row r="102" spans="9:17" ht="12.5">
      <c r="I102" s="63"/>
      <c r="Q102" s="48"/>
    </row>
    <row r="103" spans="9:17" ht="12.5">
      <c r="I103" s="63"/>
      <c r="Q103" s="48"/>
    </row>
    <row r="104" spans="9:17" ht="12.5">
      <c r="I104" s="63"/>
      <c r="Q104" s="48"/>
    </row>
    <row r="105" spans="9:17" ht="12.5">
      <c r="I105" s="63"/>
      <c r="Q105" s="48"/>
    </row>
    <row r="106" spans="9:17" ht="12.5">
      <c r="I106" s="63"/>
      <c r="Q106" s="48"/>
    </row>
    <row r="107" spans="9:17" ht="12.5">
      <c r="I107" s="63"/>
      <c r="Q107" s="48"/>
    </row>
    <row r="108" spans="9:17" ht="12.5">
      <c r="I108" s="63"/>
      <c r="Q108" s="48"/>
    </row>
    <row r="109" spans="9:17" ht="12.5">
      <c r="I109" s="63"/>
      <c r="Q109" s="48"/>
    </row>
    <row r="110" spans="9:17" ht="12.5">
      <c r="I110" s="63"/>
      <c r="Q110" s="48"/>
    </row>
    <row r="111" spans="9:17" ht="12.5">
      <c r="I111" s="63"/>
      <c r="Q111" s="48"/>
    </row>
    <row r="112" spans="9:17" ht="12.5">
      <c r="I112" s="63"/>
      <c r="Q112" s="48"/>
    </row>
    <row r="113" spans="9:17" ht="12.5">
      <c r="I113" s="63"/>
      <c r="Q113" s="48"/>
    </row>
    <row r="114" spans="9:17" ht="12.5">
      <c r="I114" s="63"/>
      <c r="Q114" s="48"/>
    </row>
    <row r="115" spans="9:17" ht="12.5">
      <c r="I115" s="63"/>
      <c r="Q115" s="48"/>
    </row>
    <row r="116" spans="9:17" ht="12.5">
      <c r="I116" s="63"/>
      <c r="Q116" s="48"/>
    </row>
    <row r="117" spans="9:17" ht="12.5">
      <c r="I117" s="63"/>
      <c r="Q117" s="48"/>
    </row>
    <row r="118" spans="9:17" ht="12.5">
      <c r="I118" s="63"/>
      <c r="Q118" s="48"/>
    </row>
    <row r="119" spans="9:17" ht="12.5">
      <c r="I119" s="63"/>
      <c r="Q119" s="48"/>
    </row>
    <row r="120" spans="9:17" ht="12.5">
      <c r="I120" s="63"/>
      <c r="Q120" s="48"/>
    </row>
    <row r="121" spans="9:17" ht="12.5">
      <c r="I121" s="63"/>
      <c r="Q121" s="48"/>
    </row>
    <row r="122" spans="9:17" ht="12.5">
      <c r="I122" s="63"/>
      <c r="Q122" s="48"/>
    </row>
    <row r="123" spans="9:17" ht="12.5">
      <c r="I123" s="63"/>
      <c r="Q123" s="48"/>
    </row>
  </sheetData>
  <customSheetViews>
    <customSheetView guid="{514A3C1B-6CCE-4092-BFD9-4C5D5EA6EC62}" filter="1" showAutoFilter="1">
      <pageMargins left="0.7" right="0.7" top="0.75" bottom="0.75" header="0.3" footer="0.3"/>
      <autoFilter ref="O1:O117" xr:uid="{9CF8D288-05E5-4498-A6A4-E7BD6D07C1B6}"/>
    </customSheetView>
    <customSheetView guid="{D7E9DF7F-435C-42AE-99B1-3E185F308F5A}" filter="1" showAutoFilter="1">
      <pageMargins left="0.7" right="0.7" top="0.75" bottom="0.75" header="0.3" footer="0.3"/>
      <autoFilter ref="H1:H117" xr:uid="{B934F793-6905-4209-8C80-7EFAD8924B44}"/>
    </customSheetView>
  </customSheetViews>
  <hyperlinks>
    <hyperlink ref="I2" r:id="rId1" xr:uid="{00000000-0004-0000-0000-000000000000}"/>
    <hyperlink ref="I3" r:id="rId2" xr:uid="{00000000-0004-0000-0000-000001000000}"/>
    <hyperlink ref="I4" r:id="rId3" xr:uid="{00000000-0004-0000-0000-000002000000}"/>
    <hyperlink ref="I5" r:id="rId4" xr:uid="{00000000-0004-0000-0000-000003000000}"/>
    <hyperlink ref="I6" r:id="rId5" xr:uid="{00000000-0004-0000-0000-000004000000}"/>
    <hyperlink ref="I7" r:id="rId6" xr:uid="{00000000-0004-0000-0000-000005000000}"/>
    <hyperlink ref="I8" r:id="rId7" xr:uid="{00000000-0004-0000-0000-000006000000}"/>
    <hyperlink ref="I9" r:id="rId8" xr:uid="{00000000-0004-0000-0000-000007000000}"/>
    <hyperlink ref="I10" r:id="rId9" xr:uid="{00000000-0004-0000-0000-000008000000}"/>
    <hyperlink ref="I11" r:id="rId10" xr:uid="{00000000-0004-0000-0000-000009000000}"/>
    <hyperlink ref="I12" r:id="rId11" xr:uid="{00000000-0004-0000-0000-00000A000000}"/>
    <hyperlink ref="I13" r:id="rId12" xr:uid="{00000000-0004-0000-0000-00000B000000}"/>
    <hyperlink ref="I14" r:id="rId13" xr:uid="{00000000-0004-0000-0000-00000C000000}"/>
    <hyperlink ref="I15" r:id="rId14" xr:uid="{00000000-0004-0000-0000-00000D000000}"/>
    <hyperlink ref="I16" r:id="rId15" xr:uid="{00000000-0004-0000-0000-00000E000000}"/>
    <hyperlink ref="I17" r:id="rId16" xr:uid="{00000000-0004-0000-0000-00000F000000}"/>
    <hyperlink ref="I18" r:id="rId17" xr:uid="{00000000-0004-0000-0000-000010000000}"/>
    <hyperlink ref="I19" r:id="rId18" xr:uid="{00000000-0004-0000-0000-000011000000}"/>
    <hyperlink ref="I20" r:id="rId19" xr:uid="{00000000-0004-0000-0000-000012000000}"/>
    <hyperlink ref="I21" r:id="rId20" xr:uid="{00000000-0004-0000-0000-000013000000}"/>
    <hyperlink ref="I22" r:id="rId21" xr:uid="{00000000-0004-0000-0000-000014000000}"/>
    <hyperlink ref="I23" r:id="rId22" xr:uid="{00000000-0004-0000-0000-000015000000}"/>
    <hyperlink ref="I24" r:id="rId23" xr:uid="{00000000-0004-0000-0000-000016000000}"/>
    <hyperlink ref="I25" r:id="rId24" xr:uid="{00000000-0004-0000-0000-000017000000}"/>
    <hyperlink ref="I26" r:id="rId25" xr:uid="{00000000-0004-0000-0000-000018000000}"/>
    <hyperlink ref="I27" r:id="rId26" xr:uid="{00000000-0004-0000-0000-000019000000}"/>
    <hyperlink ref="I28" r:id="rId27" xr:uid="{00000000-0004-0000-0000-00001A000000}"/>
    <hyperlink ref="I29" r:id="rId28" xr:uid="{00000000-0004-0000-0000-00001B000000}"/>
    <hyperlink ref="I30" r:id="rId29" xr:uid="{00000000-0004-0000-0000-00001C000000}"/>
    <hyperlink ref="I31" r:id="rId30" xr:uid="{00000000-0004-0000-0000-00001D000000}"/>
  </hyperlink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B11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30.26953125" customWidth="1"/>
    <col min="2" max="2" width="36.36328125" customWidth="1"/>
    <col min="3" max="3" width="7.08984375" customWidth="1"/>
    <col min="4" max="5" width="8.7265625" customWidth="1"/>
    <col min="6" max="6" width="14.26953125" customWidth="1"/>
    <col min="8" max="8" width="20.08984375" customWidth="1"/>
    <col min="9" max="9" width="21.36328125" customWidth="1"/>
    <col min="10" max="10" width="9.453125" customWidth="1"/>
    <col min="11" max="11" width="5.26953125" customWidth="1"/>
    <col min="12" max="12" width="7.36328125" customWidth="1"/>
    <col min="13" max="13" width="10.90625" customWidth="1"/>
    <col min="14" max="14" width="18.453125" customWidth="1"/>
    <col min="16" max="16" width="6.453125" customWidth="1"/>
    <col min="17" max="17" width="7.36328125" customWidth="1"/>
    <col min="18" max="18" width="10.08984375" customWidth="1"/>
    <col min="19" max="19" width="12.08984375" customWidth="1"/>
    <col min="20" max="20" width="10" customWidth="1"/>
    <col min="21" max="21" width="11.6328125" customWidth="1"/>
    <col min="22" max="22" width="17.36328125" customWidth="1"/>
    <col min="23" max="23" width="59.26953125" customWidth="1"/>
    <col min="24" max="24" width="17.36328125" customWidth="1"/>
  </cols>
  <sheetData>
    <row r="1" spans="1:28" ht="50.25" customHeight="1">
      <c r="A1" s="1" t="s">
        <v>141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3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4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5" t="s">
        <v>20</v>
      </c>
      <c r="W1" s="5" t="s">
        <v>21</v>
      </c>
      <c r="X1" s="5"/>
      <c r="Y1" s="5"/>
      <c r="Z1" s="5"/>
      <c r="AA1" s="5"/>
      <c r="AB1" s="5"/>
    </row>
    <row r="2" spans="1:28" ht="37.5">
      <c r="A2" s="75" t="s">
        <v>52</v>
      </c>
      <c r="B2" s="51"/>
      <c r="C2" s="76">
        <v>226.91</v>
      </c>
      <c r="D2" s="51">
        <v>1</v>
      </c>
      <c r="E2" s="51">
        <v>1</v>
      </c>
      <c r="F2" s="51">
        <f t="shared" ref="F2:F23" si="0">CEILING(E2/D2,1)</f>
        <v>1</v>
      </c>
      <c r="G2" s="51" t="s">
        <v>54</v>
      </c>
      <c r="H2" s="51" t="s">
        <v>25</v>
      </c>
      <c r="I2" s="77" t="s">
        <v>55</v>
      </c>
      <c r="J2" s="58"/>
      <c r="K2" s="58"/>
      <c r="L2" s="58"/>
      <c r="M2" s="56">
        <f t="shared" ref="M2:M24" si="1">F2*C2</f>
        <v>226.91</v>
      </c>
      <c r="N2" s="78">
        <f>M2</f>
        <v>226.91</v>
      </c>
      <c r="O2" s="58" t="b">
        <v>0</v>
      </c>
      <c r="P2" s="12"/>
      <c r="Q2" s="12" t="s">
        <v>142</v>
      </c>
      <c r="R2" s="32" t="s">
        <v>143</v>
      </c>
      <c r="S2" s="79">
        <v>45485</v>
      </c>
      <c r="T2" s="12"/>
      <c r="U2" s="12"/>
      <c r="V2" s="29">
        <f>M2</f>
        <v>226.91</v>
      </c>
    </row>
    <row r="3" spans="1:28" ht="50">
      <c r="A3" s="51" t="s">
        <v>56</v>
      </c>
      <c r="B3" s="51" t="s">
        <v>57</v>
      </c>
      <c r="C3" s="76">
        <v>226.91</v>
      </c>
      <c r="D3" s="51">
        <v>1</v>
      </c>
      <c r="E3" s="51">
        <v>2</v>
      </c>
      <c r="F3" s="51">
        <f t="shared" si="0"/>
        <v>2</v>
      </c>
      <c r="G3" s="51" t="s">
        <v>58</v>
      </c>
      <c r="H3" s="51" t="s">
        <v>25</v>
      </c>
      <c r="I3" s="77" t="s">
        <v>59</v>
      </c>
      <c r="J3" s="58"/>
      <c r="K3" s="58"/>
      <c r="L3" s="58"/>
      <c r="M3" s="56">
        <f t="shared" si="1"/>
        <v>453.82</v>
      </c>
      <c r="N3" s="78">
        <f t="shared" ref="N3:N24" si="2">N2+M3</f>
        <v>680.73</v>
      </c>
      <c r="O3" s="58" t="b">
        <v>0</v>
      </c>
      <c r="P3" s="12"/>
      <c r="Q3" s="12" t="s">
        <v>142</v>
      </c>
      <c r="R3" s="32" t="s">
        <v>143</v>
      </c>
      <c r="S3" s="79">
        <v>45485</v>
      </c>
      <c r="T3" s="12"/>
      <c r="U3" s="12"/>
      <c r="V3" s="29">
        <f t="shared" ref="V3:V22" si="3">V2+M3</f>
        <v>680.73</v>
      </c>
    </row>
    <row r="4" spans="1:28" ht="50">
      <c r="A4" s="80" t="s">
        <v>60</v>
      </c>
      <c r="B4" s="51" t="s">
        <v>61</v>
      </c>
      <c r="C4" s="76">
        <v>226.91</v>
      </c>
      <c r="D4" s="51">
        <v>1</v>
      </c>
      <c r="E4" s="51">
        <v>5</v>
      </c>
      <c r="F4" s="51">
        <f t="shared" si="0"/>
        <v>5</v>
      </c>
      <c r="G4" s="51" t="s">
        <v>49</v>
      </c>
      <c r="H4" s="51" t="s">
        <v>25</v>
      </c>
      <c r="I4" s="81" t="s">
        <v>50</v>
      </c>
      <c r="J4" s="58"/>
      <c r="K4" s="58"/>
      <c r="L4" s="58"/>
      <c r="M4" s="56">
        <f t="shared" si="1"/>
        <v>1134.55</v>
      </c>
      <c r="N4" s="78">
        <f t="shared" si="2"/>
        <v>1815.28</v>
      </c>
      <c r="O4" s="58" t="b">
        <v>0</v>
      </c>
      <c r="P4" s="12"/>
      <c r="Q4" s="12" t="s">
        <v>142</v>
      </c>
      <c r="R4" s="32" t="s">
        <v>143</v>
      </c>
      <c r="S4" s="79">
        <v>45485</v>
      </c>
      <c r="T4" s="12"/>
      <c r="U4" s="12"/>
      <c r="V4" s="29">
        <f t="shared" si="3"/>
        <v>1815.28</v>
      </c>
    </row>
    <row r="5" spans="1:28" ht="50">
      <c r="A5" s="51" t="s">
        <v>62</v>
      </c>
      <c r="B5" s="51" t="s">
        <v>63</v>
      </c>
      <c r="C5" s="76">
        <v>26.91</v>
      </c>
      <c r="D5" s="51">
        <v>1</v>
      </c>
      <c r="E5" s="51">
        <v>3</v>
      </c>
      <c r="F5" s="51">
        <f t="shared" si="0"/>
        <v>3</v>
      </c>
      <c r="G5" s="51" t="s">
        <v>64</v>
      </c>
      <c r="H5" s="51" t="s">
        <v>25</v>
      </c>
      <c r="I5" s="81" t="s">
        <v>65</v>
      </c>
      <c r="J5" s="58"/>
      <c r="K5" s="58"/>
      <c r="L5" s="58"/>
      <c r="M5" s="56">
        <f t="shared" si="1"/>
        <v>80.73</v>
      </c>
      <c r="N5" s="78">
        <f t="shared" si="2"/>
        <v>1896.01</v>
      </c>
      <c r="O5" s="58" t="b">
        <v>0</v>
      </c>
      <c r="P5" s="12"/>
      <c r="Q5" s="12" t="s">
        <v>142</v>
      </c>
      <c r="R5" s="32" t="s">
        <v>143</v>
      </c>
      <c r="S5" s="79">
        <v>45485</v>
      </c>
      <c r="T5" s="12"/>
      <c r="U5" s="12"/>
      <c r="V5" s="29">
        <f t="shared" si="3"/>
        <v>1896.01</v>
      </c>
    </row>
    <row r="6" spans="1:28" ht="25">
      <c r="A6" s="51" t="s">
        <v>66</v>
      </c>
      <c r="B6" s="51" t="s">
        <v>67</v>
      </c>
      <c r="C6" s="76">
        <v>507.24</v>
      </c>
      <c r="D6" s="51">
        <v>1</v>
      </c>
      <c r="E6" s="51">
        <v>2</v>
      </c>
      <c r="F6" s="51">
        <f t="shared" si="0"/>
        <v>2</v>
      </c>
      <c r="G6" s="51" t="s">
        <v>68</v>
      </c>
      <c r="H6" s="51" t="s">
        <v>69</v>
      </c>
      <c r="I6" s="81" t="s">
        <v>144</v>
      </c>
      <c r="J6" s="58"/>
      <c r="K6" s="58"/>
      <c r="L6" s="58"/>
      <c r="M6" s="56">
        <f t="shared" si="1"/>
        <v>1014.48</v>
      </c>
      <c r="N6" s="78">
        <f t="shared" si="2"/>
        <v>2910.49</v>
      </c>
      <c r="O6" s="58" t="b">
        <v>0</v>
      </c>
      <c r="P6" s="12"/>
      <c r="Q6" s="12" t="s">
        <v>142</v>
      </c>
      <c r="R6" s="32" t="s">
        <v>145</v>
      </c>
      <c r="S6" s="12" t="s">
        <v>146</v>
      </c>
      <c r="T6" s="12"/>
      <c r="U6" s="12"/>
      <c r="V6" s="29">
        <f t="shared" si="3"/>
        <v>2910.49</v>
      </c>
    </row>
    <row r="7" spans="1:28" ht="50">
      <c r="A7" s="51" t="s">
        <v>71</v>
      </c>
      <c r="B7" s="51" t="s">
        <v>72</v>
      </c>
      <c r="C7" s="76">
        <v>4.1100000000000003</v>
      </c>
      <c r="D7" s="51">
        <v>1</v>
      </c>
      <c r="E7" s="51">
        <v>8</v>
      </c>
      <c r="F7" s="51">
        <f t="shared" si="0"/>
        <v>8</v>
      </c>
      <c r="G7" s="51" t="s">
        <v>73</v>
      </c>
      <c r="H7" s="51" t="s">
        <v>74</v>
      </c>
      <c r="I7" s="81" t="s">
        <v>75</v>
      </c>
      <c r="J7" s="58"/>
      <c r="K7" s="58"/>
      <c r="L7" s="58"/>
      <c r="M7" s="56">
        <f t="shared" si="1"/>
        <v>32.880000000000003</v>
      </c>
      <c r="N7" s="78">
        <f t="shared" si="2"/>
        <v>2943.37</v>
      </c>
      <c r="O7" s="58" t="b">
        <v>0</v>
      </c>
      <c r="P7" s="12"/>
      <c r="Q7" s="12" t="s">
        <v>142</v>
      </c>
      <c r="R7" s="32" t="s">
        <v>147</v>
      </c>
      <c r="S7" s="79">
        <v>45485</v>
      </c>
      <c r="T7" s="12"/>
      <c r="U7" s="12"/>
      <c r="V7" s="29">
        <f t="shared" si="3"/>
        <v>2943.37</v>
      </c>
    </row>
    <row r="8" spans="1:28" ht="37.5">
      <c r="A8" s="51" t="s">
        <v>76</v>
      </c>
      <c r="B8" s="51" t="s">
        <v>77</v>
      </c>
      <c r="C8" s="76">
        <v>12.86</v>
      </c>
      <c r="D8" s="51">
        <v>5</v>
      </c>
      <c r="E8" s="51">
        <v>1</v>
      </c>
      <c r="F8" s="51">
        <f t="shared" si="0"/>
        <v>1</v>
      </c>
      <c r="G8" s="82" t="s">
        <v>78</v>
      </c>
      <c r="H8" s="51" t="s">
        <v>79</v>
      </c>
      <c r="I8" s="81" t="s">
        <v>80</v>
      </c>
      <c r="J8" s="58"/>
      <c r="K8" s="58"/>
      <c r="L8" s="58"/>
      <c r="M8" s="56">
        <f t="shared" si="1"/>
        <v>12.86</v>
      </c>
      <c r="N8" s="78">
        <f t="shared" si="2"/>
        <v>2956.23</v>
      </c>
      <c r="O8" s="58" t="b">
        <v>0</v>
      </c>
      <c r="P8" s="12"/>
      <c r="Q8" s="12" t="s">
        <v>142</v>
      </c>
      <c r="R8" s="32" t="s">
        <v>148</v>
      </c>
      <c r="S8" s="79">
        <v>45485</v>
      </c>
      <c r="T8" s="12"/>
      <c r="U8" s="12"/>
      <c r="V8" s="29">
        <f t="shared" si="3"/>
        <v>2956.23</v>
      </c>
    </row>
    <row r="9" spans="1:28" ht="25">
      <c r="A9" s="51" t="s">
        <v>81</v>
      </c>
      <c r="B9" s="51" t="s">
        <v>82</v>
      </c>
      <c r="C9" s="76">
        <v>64.22</v>
      </c>
      <c r="D9" s="51">
        <v>1</v>
      </c>
      <c r="E9" s="51">
        <v>2</v>
      </c>
      <c r="F9" s="51">
        <f t="shared" si="0"/>
        <v>2</v>
      </c>
      <c r="G9" s="82" t="s">
        <v>83</v>
      </c>
      <c r="H9" s="51" t="s">
        <v>79</v>
      </c>
      <c r="I9" s="81" t="s">
        <v>84</v>
      </c>
      <c r="J9" s="58"/>
      <c r="K9" s="58"/>
      <c r="L9" s="58"/>
      <c r="M9" s="56">
        <f t="shared" si="1"/>
        <v>128.44</v>
      </c>
      <c r="N9" s="78">
        <f t="shared" si="2"/>
        <v>3084.67</v>
      </c>
      <c r="O9" s="58" t="b">
        <v>0</v>
      </c>
      <c r="P9" s="12"/>
      <c r="Q9" s="12" t="s">
        <v>142</v>
      </c>
      <c r="R9" s="32" t="s">
        <v>148</v>
      </c>
      <c r="S9" s="79">
        <v>45485</v>
      </c>
      <c r="T9" s="12"/>
      <c r="U9" s="12"/>
      <c r="V9" s="29">
        <f t="shared" si="3"/>
        <v>3084.67</v>
      </c>
    </row>
    <row r="10" spans="1:28" ht="37.5">
      <c r="A10" s="83" t="s">
        <v>85</v>
      </c>
      <c r="B10" s="51" t="s">
        <v>86</v>
      </c>
      <c r="C10" s="76">
        <v>8.7799999999999994</v>
      </c>
      <c r="D10" s="51">
        <v>12</v>
      </c>
      <c r="E10" s="51">
        <v>35</v>
      </c>
      <c r="F10" s="51">
        <f t="shared" si="0"/>
        <v>3</v>
      </c>
      <c r="G10" s="82" t="s">
        <v>87</v>
      </c>
      <c r="H10" s="51" t="s">
        <v>79</v>
      </c>
      <c r="I10" s="84" t="s">
        <v>88</v>
      </c>
      <c r="J10" s="58"/>
      <c r="K10" s="58"/>
      <c r="L10" s="58"/>
      <c r="M10" s="56">
        <f t="shared" si="1"/>
        <v>26.339999999999996</v>
      </c>
      <c r="N10" s="78">
        <f t="shared" si="2"/>
        <v>3111.01</v>
      </c>
      <c r="O10" s="58" t="b">
        <v>0</v>
      </c>
      <c r="P10" s="12"/>
      <c r="Q10" s="12" t="s">
        <v>142</v>
      </c>
      <c r="R10" s="32" t="s">
        <v>148</v>
      </c>
      <c r="S10" s="79">
        <v>45485</v>
      </c>
      <c r="T10" s="12"/>
      <c r="U10" s="12"/>
      <c r="V10" s="29">
        <f t="shared" si="3"/>
        <v>3111.01</v>
      </c>
    </row>
    <row r="11" spans="1:28" ht="37.5">
      <c r="A11" s="51" t="s">
        <v>89</v>
      </c>
      <c r="B11" s="51" t="s">
        <v>90</v>
      </c>
      <c r="C11" s="76">
        <v>19.670000000000002</v>
      </c>
      <c r="D11" s="51">
        <v>50</v>
      </c>
      <c r="E11" s="51">
        <v>8</v>
      </c>
      <c r="F11" s="51">
        <f t="shared" si="0"/>
        <v>1</v>
      </c>
      <c r="G11" s="82" t="s">
        <v>91</v>
      </c>
      <c r="H11" s="51" t="s">
        <v>79</v>
      </c>
      <c r="I11" s="84" t="s">
        <v>92</v>
      </c>
      <c r="J11" s="58"/>
      <c r="K11" s="58"/>
      <c r="L11" s="58"/>
      <c r="M11" s="56">
        <f t="shared" si="1"/>
        <v>19.670000000000002</v>
      </c>
      <c r="N11" s="78">
        <f t="shared" si="2"/>
        <v>3130.6800000000003</v>
      </c>
      <c r="O11" s="58" t="b">
        <v>0</v>
      </c>
      <c r="P11" s="12"/>
      <c r="Q11" s="12" t="s">
        <v>142</v>
      </c>
      <c r="R11" s="32" t="s">
        <v>148</v>
      </c>
      <c r="S11" s="79">
        <v>45485</v>
      </c>
      <c r="T11" s="12"/>
      <c r="U11" s="12"/>
      <c r="V11" s="29">
        <f t="shared" si="3"/>
        <v>3130.6800000000003</v>
      </c>
    </row>
    <row r="12" spans="1:28" ht="50">
      <c r="A12" s="51" t="s">
        <v>93</v>
      </c>
      <c r="B12" s="51" t="s">
        <v>94</v>
      </c>
      <c r="C12" s="76">
        <v>16.66</v>
      </c>
      <c r="D12" s="51">
        <v>100</v>
      </c>
      <c r="E12" s="51">
        <v>4</v>
      </c>
      <c r="F12" s="51">
        <f t="shared" si="0"/>
        <v>1</v>
      </c>
      <c r="G12" s="82" t="s">
        <v>95</v>
      </c>
      <c r="H12" s="51" t="s">
        <v>79</v>
      </c>
      <c r="I12" s="84" t="s">
        <v>96</v>
      </c>
      <c r="J12" s="58"/>
      <c r="K12" s="58"/>
      <c r="L12" s="58"/>
      <c r="M12" s="56">
        <f t="shared" si="1"/>
        <v>16.66</v>
      </c>
      <c r="N12" s="78">
        <f t="shared" si="2"/>
        <v>3147.34</v>
      </c>
      <c r="O12" s="58" t="b">
        <v>0</v>
      </c>
      <c r="P12" s="12"/>
      <c r="Q12" s="12" t="s">
        <v>142</v>
      </c>
      <c r="R12" s="32" t="s">
        <v>148</v>
      </c>
      <c r="S12" s="79">
        <v>45485</v>
      </c>
      <c r="T12" s="12"/>
      <c r="U12" s="12"/>
      <c r="V12" s="29">
        <f t="shared" si="3"/>
        <v>3147.34</v>
      </c>
    </row>
    <row r="13" spans="1:28" ht="50">
      <c r="A13" s="51" t="s">
        <v>97</v>
      </c>
      <c r="B13" s="51" t="s">
        <v>94</v>
      </c>
      <c r="C13" s="76">
        <v>3.52</v>
      </c>
      <c r="D13" s="51">
        <v>100</v>
      </c>
      <c r="E13" s="51">
        <v>4</v>
      </c>
      <c r="F13" s="51">
        <f t="shared" si="0"/>
        <v>1</v>
      </c>
      <c r="G13" s="82" t="s">
        <v>98</v>
      </c>
      <c r="H13" s="51" t="s">
        <v>79</v>
      </c>
      <c r="I13" s="84" t="s">
        <v>99</v>
      </c>
      <c r="J13" s="58"/>
      <c r="K13" s="58"/>
      <c r="L13" s="58"/>
      <c r="M13" s="56">
        <f t="shared" si="1"/>
        <v>3.52</v>
      </c>
      <c r="N13" s="78">
        <f t="shared" si="2"/>
        <v>3150.86</v>
      </c>
      <c r="O13" s="58" t="b">
        <v>0</v>
      </c>
      <c r="P13" s="12"/>
      <c r="Q13" s="12" t="s">
        <v>142</v>
      </c>
      <c r="R13" s="32" t="s">
        <v>148</v>
      </c>
      <c r="S13" s="79">
        <v>45485</v>
      </c>
      <c r="T13" s="12"/>
      <c r="U13" s="12"/>
      <c r="V13" s="29">
        <f t="shared" si="3"/>
        <v>3150.86</v>
      </c>
    </row>
    <row r="14" spans="1:28" ht="62.5">
      <c r="A14" s="83" t="s">
        <v>100</v>
      </c>
      <c r="B14" s="83" t="s">
        <v>101</v>
      </c>
      <c r="C14" s="76">
        <v>5.36</v>
      </c>
      <c r="D14" s="51">
        <v>100</v>
      </c>
      <c r="E14" s="51">
        <v>324</v>
      </c>
      <c r="F14" s="51">
        <f t="shared" si="0"/>
        <v>4</v>
      </c>
      <c r="G14" s="82" t="s">
        <v>102</v>
      </c>
      <c r="H14" s="51" t="s">
        <v>79</v>
      </c>
      <c r="I14" s="84" t="s">
        <v>103</v>
      </c>
      <c r="J14" s="58"/>
      <c r="K14" s="58"/>
      <c r="L14" s="58"/>
      <c r="M14" s="56">
        <f t="shared" si="1"/>
        <v>21.44</v>
      </c>
      <c r="N14" s="78">
        <f t="shared" si="2"/>
        <v>3172.3</v>
      </c>
      <c r="O14" s="58" t="b">
        <v>0</v>
      </c>
      <c r="P14" s="12"/>
      <c r="Q14" s="12" t="s">
        <v>142</v>
      </c>
      <c r="R14" s="32" t="s">
        <v>148</v>
      </c>
      <c r="S14" s="79">
        <v>45485</v>
      </c>
      <c r="T14" s="12"/>
      <c r="U14" s="12"/>
      <c r="V14" s="29">
        <f t="shared" si="3"/>
        <v>3172.3</v>
      </c>
    </row>
    <row r="15" spans="1:28" ht="37.5">
      <c r="A15" s="51" t="s">
        <v>104</v>
      </c>
      <c r="B15" s="51" t="s">
        <v>105</v>
      </c>
      <c r="C15" s="85">
        <v>6.26</v>
      </c>
      <c r="D15" s="51">
        <v>100</v>
      </c>
      <c r="E15" s="51">
        <v>8</v>
      </c>
      <c r="F15" s="51">
        <f t="shared" si="0"/>
        <v>1</v>
      </c>
      <c r="G15" s="82" t="s">
        <v>106</v>
      </c>
      <c r="H15" s="51" t="s">
        <v>79</v>
      </c>
      <c r="I15" s="86" t="s">
        <v>107</v>
      </c>
      <c r="J15" s="58"/>
      <c r="K15" s="58"/>
      <c r="L15" s="58"/>
      <c r="M15" s="56">
        <f t="shared" si="1"/>
        <v>6.26</v>
      </c>
      <c r="N15" s="78">
        <f t="shared" si="2"/>
        <v>3178.5600000000004</v>
      </c>
      <c r="O15" s="58" t="b">
        <v>0</v>
      </c>
      <c r="P15" s="12"/>
      <c r="Q15" s="12" t="s">
        <v>142</v>
      </c>
      <c r="R15" s="32" t="s">
        <v>148</v>
      </c>
      <c r="S15" s="79">
        <v>45485</v>
      </c>
      <c r="T15" s="12"/>
      <c r="U15" s="12"/>
      <c r="V15" s="29">
        <f t="shared" si="3"/>
        <v>3178.5600000000004</v>
      </c>
    </row>
    <row r="16" spans="1:28" ht="50">
      <c r="A16" s="51" t="s">
        <v>108</v>
      </c>
      <c r="B16" s="51" t="s">
        <v>109</v>
      </c>
      <c r="C16" s="76">
        <v>7.48</v>
      </c>
      <c r="D16" s="51">
        <v>12</v>
      </c>
      <c r="E16" s="51">
        <v>80</v>
      </c>
      <c r="F16" s="51">
        <f t="shared" si="0"/>
        <v>7</v>
      </c>
      <c r="G16" s="82" t="s">
        <v>110</v>
      </c>
      <c r="H16" s="51" t="s">
        <v>79</v>
      </c>
      <c r="I16" s="81" t="s">
        <v>111</v>
      </c>
      <c r="J16" s="58"/>
      <c r="K16" s="58"/>
      <c r="L16" s="58"/>
      <c r="M16" s="56">
        <f t="shared" si="1"/>
        <v>52.36</v>
      </c>
      <c r="N16" s="78">
        <f t="shared" si="2"/>
        <v>3230.9200000000005</v>
      </c>
      <c r="O16" s="58" t="b">
        <v>0</v>
      </c>
      <c r="P16" s="12"/>
      <c r="Q16" s="12" t="s">
        <v>142</v>
      </c>
      <c r="R16" s="32" t="s">
        <v>148</v>
      </c>
      <c r="S16" s="79">
        <v>45485</v>
      </c>
      <c r="T16" s="12"/>
      <c r="U16" s="12"/>
      <c r="V16" s="29">
        <f t="shared" si="3"/>
        <v>3230.9200000000005</v>
      </c>
    </row>
    <row r="17" spans="1:26" ht="25">
      <c r="A17" s="51" t="s">
        <v>112</v>
      </c>
      <c r="B17" s="51" t="s">
        <v>113</v>
      </c>
      <c r="C17" s="76">
        <v>9.35</v>
      </c>
      <c r="D17" s="51">
        <v>5</v>
      </c>
      <c r="E17" s="51">
        <v>3</v>
      </c>
      <c r="F17" s="51">
        <f t="shared" si="0"/>
        <v>1</v>
      </c>
      <c r="G17" s="87" t="s">
        <v>114</v>
      </c>
      <c r="H17" s="51" t="s">
        <v>79</v>
      </c>
      <c r="I17" s="81" t="s">
        <v>115</v>
      </c>
      <c r="J17" s="58"/>
      <c r="K17" s="58"/>
      <c r="L17" s="58"/>
      <c r="M17" s="56">
        <f t="shared" si="1"/>
        <v>9.35</v>
      </c>
      <c r="N17" s="78">
        <f t="shared" si="2"/>
        <v>3240.2700000000004</v>
      </c>
      <c r="O17" s="58"/>
      <c r="P17" s="12"/>
      <c r="Q17" s="12" t="s">
        <v>142</v>
      </c>
      <c r="R17" s="32" t="s">
        <v>148</v>
      </c>
      <c r="S17" s="79">
        <v>45485</v>
      </c>
      <c r="T17" s="12"/>
      <c r="U17" s="12"/>
      <c r="V17" s="29">
        <f t="shared" si="3"/>
        <v>3240.2700000000004</v>
      </c>
    </row>
    <row r="18" spans="1:26" ht="37.5">
      <c r="A18" s="51" t="s">
        <v>89</v>
      </c>
      <c r="B18" s="51" t="s">
        <v>116</v>
      </c>
      <c r="C18" s="76">
        <v>9.86</v>
      </c>
      <c r="D18" s="51">
        <v>100</v>
      </c>
      <c r="E18" s="51">
        <v>12</v>
      </c>
      <c r="F18" s="51">
        <f t="shared" si="0"/>
        <v>1</v>
      </c>
      <c r="G18" s="88" t="s">
        <v>117</v>
      </c>
      <c r="H18" s="51" t="s">
        <v>79</v>
      </c>
      <c r="I18" s="81" t="s">
        <v>118</v>
      </c>
      <c r="J18" s="51"/>
      <c r="K18" s="51"/>
      <c r="L18" s="51"/>
      <c r="M18" s="56">
        <f t="shared" si="1"/>
        <v>9.86</v>
      </c>
      <c r="N18" s="78">
        <f t="shared" si="2"/>
        <v>3250.1300000000006</v>
      </c>
      <c r="O18" s="58"/>
      <c r="P18" s="12"/>
      <c r="Q18" s="12" t="s">
        <v>142</v>
      </c>
      <c r="R18" s="32" t="s">
        <v>148</v>
      </c>
      <c r="S18" s="79">
        <v>45485</v>
      </c>
      <c r="T18" s="12"/>
      <c r="U18" s="12"/>
      <c r="V18" s="29">
        <f t="shared" si="3"/>
        <v>3250.1300000000006</v>
      </c>
    </row>
    <row r="19" spans="1:26" ht="25">
      <c r="A19" s="51" t="s">
        <v>119</v>
      </c>
      <c r="B19" s="51" t="s">
        <v>120</v>
      </c>
      <c r="C19" s="76">
        <v>8.83</v>
      </c>
      <c r="D19" s="51">
        <v>100</v>
      </c>
      <c r="E19" s="51">
        <v>24</v>
      </c>
      <c r="F19" s="51">
        <f t="shared" si="0"/>
        <v>1</v>
      </c>
      <c r="G19" s="69" t="s">
        <v>121</v>
      </c>
      <c r="H19" s="51" t="s">
        <v>79</v>
      </c>
      <c r="I19" s="81" t="s">
        <v>122</v>
      </c>
      <c r="J19" s="58"/>
      <c r="K19" s="58"/>
      <c r="L19" s="58"/>
      <c r="M19" s="56">
        <f t="shared" si="1"/>
        <v>8.83</v>
      </c>
      <c r="N19" s="78">
        <f t="shared" si="2"/>
        <v>3258.9600000000005</v>
      </c>
      <c r="O19" s="58"/>
      <c r="P19" s="12"/>
      <c r="Q19" s="12" t="s">
        <v>142</v>
      </c>
      <c r="R19" s="32" t="s">
        <v>148</v>
      </c>
      <c r="S19" s="79">
        <v>45485</v>
      </c>
      <c r="T19" s="12"/>
      <c r="U19" s="12"/>
      <c r="V19" s="29">
        <f t="shared" si="3"/>
        <v>3258.9600000000005</v>
      </c>
    </row>
    <row r="20" spans="1:26" ht="37.5">
      <c r="A20" s="50" t="s">
        <v>123</v>
      </c>
      <c r="B20" s="50" t="s">
        <v>124</v>
      </c>
      <c r="C20" s="89">
        <v>6.61</v>
      </c>
      <c r="D20" s="51">
        <v>1</v>
      </c>
      <c r="E20" s="51">
        <v>8</v>
      </c>
      <c r="F20" s="51">
        <f t="shared" si="0"/>
        <v>8</v>
      </c>
      <c r="G20" s="90" t="s">
        <v>125</v>
      </c>
      <c r="H20" s="54" t="s">
        <v>79</v>
      </c>
      <c r="I20" s="91" t="s">
        <v>126</v>
      </c>
      <c r="J20" s="58"/>
      <c r="K20" s="58"/>
      <c r="L20" s="58"/>
      <c r="M20" s="56">
        <f t="shared" si="1"/>
        <v>52.88</v>
      </c>
      <c r="N20" s="78">
        <f t="shared" si="2"/>
        <v>3311.8400000000006</v>
      </c>
      <c r="O20" s="58"/>
      <c r="P20" s="12"/>
      <c r="Q20" s="12" t="s">
        <v>142</v>
      </c>
      <c r="R20" s="32" t="s">
        <v>148</v>
      </c>
      <c r="S20" s="79">
        <v>45485</v>
      </c>
      <c r="T20" s="12"/>
      <c r="U20" s="12"/>
      <c r="V20" s="29">
        <f t="shared" si="3"/>
        <v>3311.8400000000006</v>
      </c>
    </row>
    <row r="21" spans="1:26" ht="37.5">
      <c r="A21" s="50" t="s">
        <v>127</v>
      </c>
      <c r="B21" s="50" t="s">
        <v>128</v>
      </c>
      <c r="C21" s="52">
        <v>13.1</v>
      </c>
      <c r="D21" s="50">
        <v>100</v>
      </c>
      <c r="E21" s="50">
        <v>8</v>
      </c>
      <c r="F21" s="51">
        <f t="shared" si="0"/>
        <v>1</v>
      </c>
      <c r="G21" s="88" t="s">
        <v>129</v>
      </c>
      <c r="H21" s="54" t="s">
        <v>79</v>
      </c>
      <c r="I21" s="92" t="s">
        <v>130</v>
      </c>
      <c r="J21" s="54"/>
      <c r="K21" s="54"/>
      <c r="L21" s="54"/>
      <c r="M21" s="56">
        <f t="shared" si="1"/>
        <v>13.1</v>
      </c>
      <c r="N21" s="78">
        <f t="shared" si="2"/>
        <v>3324.9400000000005</v>
      </c>
      <c r="O21" s="58"/>
      <c r="Q21" s="12" t="s">
        <v>142</v>
      </c>
      <c r="R21" s="32" t="s">
        <v>148</v>
      </c>
      <c r="S21" s="79">
        <v>45485</v>
      </c>
      <c r="V21" s="29">
        <f t="shared" si="3"/>
        <v>3324.9400000000005</v>
      </c>
    </row>
    <row r="22" spans="1:26" ht="37.5">
      <c r="A22" s="50" t="s">
        <v>131</v>
      </c>
      <c r="B22" s="50" t="s">
        <v>132</v>
      </c>
      <c r="C22" s="52">
        <v>7.36</v>
      </c>
      <c r="D22" s="50">
        <v>1</v>
      </c>
      <c r="E22" s="50">
        <v>4</v>
      </c>
      <c r="F22" s="51">
        <f t="shared" si="0"/>
        <v>4</v>
      </c>
      <c r="G22" s="88" t="s">
        <v>125</v>
      </c>
      <c r="H22" s="54" t="s">
        <v>79</v>
      </c>
      <c r="I22" s="92" t="s">
        <v>126</v>
      </c>
      <c r="J22" s="54"/>
      <c r="K22" s="54"/>
      <c r="L22" s="54"/>
      <c r="M22" s="56">
        <f t="shared" si="1"/>
        <v>29.44</v>
      </c>
      <c r="N22" s="78">
        <f t="shared" si="2"/>
        <v>3354.3800000000006</v>
      </c>
      <c r="O22" s="58"/>
      <c r="Q22" s="12" t="s">
        <v>142</v>
      </c>
      <c r="R22" s="32" t="s">
        <v>148</v>
      </c>
      <c r="S22" s="79">
        <v>45485</v>
      </c>
      <c r="V22" s="29">
        <f t="shared" si="3"/>
        <v>3354.3800000000006</v>
      </c>
    </row>
    <row r="23" spans="1:26" ht="12.5">
      <c r="A23" s="50"/>
      <c r="B23" s="50"/>
      <c r="C23" s="52"/>
      <c r="D23" s="50"/>
      <c r="E23" s="50"/>
      <c r="F23" s="51" t="e">
        <f t="shared" si="0"/>
        <v>#DIV/0!</v>
      </c>
      <c r="G23" s="93"/>
      <c r="H23" s="59"/>
      <c r="I23" s="54"/>
      <c r="J23" s="54"/>
      <c r="K23" s="54"/>
      <c r="L23" s="54"/>
      <c r="M23" s="58" t="e">
        <f t="shared" si="1"/>
        <v>#DIV/0!</v>
      </c>
      <c r="N23" s="94" t="e">
        <f t="shared" si="2"/>
        <v>#DIV/0!</v>
      </c>
      <c r="O23" s="58"/>
      <c r="Q23" s="48"/>
    </row>
    <row r="24" spans="1:26" ht="12.5">
      <c r="A24" s="50"/>
      <c r="B24" s="59"/>
      <c r="C24" s="52"/>
      <c r="D24" s="50"/>
      <c r="E24" s="50"/>
      <c r="F24" s="51">
        <f>CEILING(E24/$D$20,1)</f>
        <v>0</v>
      </c>
      <c r="G24" s="95"/>
      <c r="H24" s="59"/>
      <c r="I24" s="96"/>
      <c r="J24" s="61"/>
      <c r="K24" s="62"/>
      <c r="L24" s="54"/>
      <c r="M24" s="56">
        <f t="shared" si="1"/>
        <v>0</v>
      </c>
      <c r="N24" s="94" t="e">
        <f t="shared" si="2"/>
        <v>#DIV/0!</v>
      </c>
      <c r="O24" s="58"/>
      <c r="P24" s="63"/>
      <c r="Q24" s="48"/>
    </row>
    <row r="25" spans="1:26" ht="12.5">
      <c r="A25" s="63"/>
      <c r="B25" s="64"/>
      <c r="C25" s="29"/>
      <c r="D25" s="63"/>
      <c r="E25" s="63"/>
      <c r="G25" s="65"/>
      <c r="H25" s="66"/>
      <c r="I25" s="63"/>
      <c r="N25" s="67"/>
      <c r="Q25" s="48"/>
    </row>
    <row r="26" spans="1:26" ht="12.5">
      <c r="A26" s="63"/>
      <c r="B26" s="63"/>
      <c r="C26" s="14"/>
      <c r="D26" s="63"/>
      <c r="E26" s="63"/>
      <c r="F26" s="63"/>
      <c r="G26" s="69"/>
      <c r="H26" s="66"/>
      <c r="I26" s="63"/>
      <c r="N26" s="67"/>
      <c r="Q26" s="48"/>
    </row>
    <row r="27" spans="1:26" ht="12.5">
      <c r="A27" s="63"/>
      <c r="B27" s="63"/>
      <c r="C27" s="29"/>
      <c r="D27" s="63"/>
      <c r="E27" s="63"/>
      <c r="G27" s="65"/>
      <c r="H27" s="66"/>
      <c r="I27" s="63"/>
      <c r="N27" s="67"/>
      <c r="Q27" s="48"/>
    </row>
    <row r="28" spans="1:26" ht="12.5">
      <c r="A28" s="63"/>
      <c r="B28" s="63"/>
      <c r="C28" s="29"/>
      <c r="D28" s="63"/>
      <c r="E28" s="63"/>
      <c r="G28" s="65"/>
      <c r="H28" s="66"/>
      <c r="I28" s="63"/>
      <c r="N28" s="67"/>
      <c r="Q28" s="48"/>
    </row>
    <row r="29" spans="1:26" ht="12.5">
      <c r="A29" s="63"/>
      <c r="B29" s="63"/>
      <c r="C29" s="29"/>
      <c r="D29" s="63"/>
      <c r="E29" s="63"/>
      <c r="G29" s="65"/>
      <c r="H29" s="66"/>
      <c r="I29" s="63"/>
      <c r="N29" s="67"/>
      <c r="Q29" s="48"/>
    </row>
    <row r="30" spans="1:26" ht="12.5">
      <c r="A30" s="63"/>
      <c r="B30" s="63"/>
      <c r="C30" s="29"/>
      <c r="D30" s="63"/>
      <c r="E30" s="63"/>
      <c r="G30" s="65"/>
      <c r="H30" s="66"/>
      <c r="I30" s="63"/>
      <c r="N30" s="67"/>
      <c r="Q30" s="48"/>
    </row>
    <row r="31" spans="1:26" ht="12.5">
      <c r="A31" s="63"/>
      <c r="B31" s="63"/>
      <c r="C31" s="29"/>
      <c r="D31" s="63"/>
      <c r="E31" s="63"/>
      <c r="G31" s="65"/>
      <c r="H31" s="66"/>
      <c r="I31" s="63"/>
      <c r="N31" s="67"/>
      <c r="Q31" s="48"/>
    </row>
    <row r="32" spans="1:26" ht="12.5">
      <c r="A32" s="63"/>
      <c r="B32" s="63"/>
      <c r="C32" s="29"/>
      <c r="D32" s="63"/>
      <c r="E32" s="63"/>
      <c r="F32" s="63"/>
      <c r="H32" s="63"/>
      <c r="I32" s="63"/>
      <c r="N32" s="67"/>
      <c r="Q32" s="48"/>
      <c r="Z32" s="68"/>
    </row>
    <row r="33" spans="1:26" ht="12.5">
      <c r="A33" s="63"/>
      <c r="B33" s="63"/>
      <c r="C33" s="29"/>
      <c r="D33" s="63"/>
      <c r="E33" s="63"/>
      <c r="F33" s="63"/>
      <c r="H33" s="63"/>
      <c r="I33" s="63"/>
      <c r="N33" s="67"/>
      <c r="Q33" s="48"/>
      <c r="Z33" s="70"/>
    </row>
    <row r="34" spans="1:26" ht="12.5">
      <c r="A34" s="63"/>
      <c r="B34" s="63"/>
      <c r="C34" s="29"/>
      <c r="D34" s="63"/>
      <c r="E34" s="63"/>
      <c r="F34" s="63"/>
      <c r="H34" s="63"/>
      <c r="I34" s="63"/>
      <c r="N34" s="67"/>
      <c r="Q34" s="48"/>
    </row>
    <row r="35" spans="1:26" ht="12.5">
      <c r="I35" s="63"/>
      <c r="Q35" s="48"/>
    </row>
    <row r="36" spans="1:26" ht="12.5">
      <c r="G36" s="71"/>
      <c r="I36" s="63"/>
      <c r="L36" s="72" t="s">
        <v>140</v>
      </c>
      <c r="M36" s="72" t="e">
        <f>SUM(M2:M34)</f>
        <v>#DIV/0!</v>
      </c>
      <c r="Q36" s="48"/>
      <c r="Z36" s="14"/>
    </row>
    <row r="37" spans="1:26" ht="12.5">
      <c r="G37" s="71"/>
      <c r="I37" s="63"/>
      <c r="Q37" s="48"/>
    </row>
    <row r="38" spans="1:26" ht="12.5">
      <c r="G38" s="71"/>
      <c r="I38" s="63"/>
      <c r="Q38" s="48"/>
    </row>
    <row r="39" spans="1:26" ht="12.5">
      <c r="G39" s="71"/>
      <c r="I39" s="63"/>
      <c r="Q39" s="48"/>
    </row>
    <row r="40" spans="1:26" ht="12.5">
      <c r="G40" s="71"/>
      <c r="I40" s="63"/>
      <c r="Q40" s="48"/>
    </row>
    <row r="41" spans="1:26" ht="12.5">
      <c r="G41" s="71"/>
      <c r="I41" s="63"/>
      <c r="Q41" s="48"/>
    </row>
    <row r="42" spans="1:26" ht="12.5">
      <c r="G42" s="71"/>
      <c r="I42" s="63"/>
      <c r="Q42" s="48"/>
    </row>
    <row r="43" spans="1:26" ht="12.5">
      <c r="G43" s="71"/>
      <c r="I43" s="63"/>
      <c r="Q43" s="48"/>
    </row>
    <row r="44" spans="1:26" ht="12.5">
      <c r="G44" s="71"/>
      <c r="I44" s="63"/>
      <c r="Q44" s="48"/>
    </row>
    <row r="45" spans="1:26" ht="12.5">
      <c r="G45" s="71"/>
      <c r="I45" s="63"/>
      <c r="Q45" s="48"/>
    </row>
    <row r="46" spans="1:26" ht="12.5">
      <c r="G46" s="71"/>
      <c r="I46" s="63"/>
      <c r="Q46" s="48"/>
    </row>
    <row r="47" spans="1:26" ht="12.5">
      <c r="G47" s="71"/>
      <c r="I47" s="63"/>
      <c r="Q47" s="48"/>
    </row>
    <row r="48" spans="1:26" ht="12.5">
      <c r="G48" s="71"/>
      <c r="I48" s="63"/>
      <c r="Q48" s="48"/>
    </row>
    <row r="49" spans="3:17" ht="12.5">
      <c r="G49" s="71"/>
      <c r="I49" s="63"/>
      <c r="Q49" s="48"/>
    </row>
    <row r="50" spans="3:17" ht="12.5">
      <c r="G50" s="71"/>
      <c r="I50" s="63"/>
      <c r="Q50" s="48"/>
    </row>
    <row r="51" spans="3:17" ht="12.5">
      <c r="C51" s="29"/>
      <c r="I51" s="63"/>
      <c r="N51" s="74"/>
      <c r="Q51" s="48"/>
    </row>
    <row r="52" spans="3:17" ht="12.5">
      <c r="C52" s="14"/>
      <c r="I52" s="63"/>
      <c r="N52" s="74"/>
      <c r="Q52" s="48"/>
    </row>
    <row r="53" spans="3:17" ht="12.5">
      <c r="G53" s="71"/>
      <c r="I53" s="63"/>
      <c r="Q53" s="48"/>
    </row>
    <row r="54" spans="3:17" ht="12.5">
      <c r="G54" s="71"/>
      <c r="I54" s="63"/>
      <c r="Q54" s="48"/>
    </row>
    <row r="55" spans="3:17" ht="12.5">
      <c r="G55" s="71"/>
      <c r="I55" s="63"/>
      <c r="Q55" s="48"/>
    </row>
    <row r="56" spans="3:17" ht="12.5">
      <c r="G56" s="71"/>
      <c r="I56" s="63"/>
      <c r="Q56" s="48"/>
    </row>
    <row r="57" spans="3:17" ht="12.5">
      <c r="G57" s="71"/>
      <c r="I57" s="63"/>
      <c r="Q57" s="48"/>
    </row>
    <row r="58" spans="3:17" ht="12.5">
      <c r="G58" s="71"/>
      <c r="I58" s="63"/>
      <c r="Q58" s="48"/>
    </row>
    <row r="59" spans="3:17" ht="12.5">
      <c r="G59" s="71"/>
      <c r="I59" s="63"/>
      <c r="Q59" s="48"/>
    </row>
    <row r="60" spans="3:17" ht="12.5">
      <c r="I60" s="63"/>
      <c r="Q60" s="48"/>
    </row>
    <row r="61" spans="3:17" ht="12.5">
      <c r="I61" s="63"/>
      <c r="Q61" s="48"/>
    </row>
    <row r="62" spans="3:17" ht="12.5">
      <c r="I62" s="63"/>
      <c r="Q62" s="48"/>
    </row>
    <row r="63" spans="3:17" ht="12.5">
      <c r="I63" s="63"/>
      <c r="Q63" s="48"/>
    </row>
    <row r="64" spans="3:17" ht="12.5">
      <c r="I64" s="63"/>
      <c r="Q64" s="48"/>
    </row>
    <row r="65" spans="9:17" ht="12.5">
      <c r="I65" s="63"/>
      <c r="Q65" s="48"/>
    </row>
    <row r="66" spans="9:17" ht="12.5">
      <c r="I66" s="63"/>
      <c r="Q66" s="48"/>
    </row>
    <row r="67" spans="9:17" ht="12.5">
      <c r="I67" s="63"/>
      <c r="Q67" s="48"/>
    </row>
    <row r="68" spans="9:17" ht="12.5">
      <c r="I68" s="63"/>
      <c r="Q68" s="48"/>
    </row>
    <row r="69" spans="9:17" ht="12.5">
      <c r="I69" s="63"/>
      <c r="Q69" s="48"/>
    </row>
    <row r="70" spans="9:17" ht="12.5">
      <c r="I70" s="63"/>
      <c r="Q70" s="48"/>
    </row>
    <row r="71" spans="9:17" ht="12.5">
      <c r="I71" s="63"/>
      <c r="Q71" s="48"/>
    </row>
    <row r="72" spans="9:17" ht="12.5">
      <c r="I72" s="63"/>
      <c r="Q72" s="48"/>
    </row>
    <row r="73" spans="9:17" ht="12.5">
      <c r="I73" s="63"/>
      <c r="Q73" s="48"/>
    </row>
    <row r="74" spans="9:17" ht="12.5">
      <c r="I74" s="63"/>
      <c r="Q74" s="48"/>
    </row>
    <row r="75" spans="9:17" ht="12.5">
      <c r="I75" s="63"/>
      <c r="Q75" s="48"/>
    </row>
    <row r="76" spans="9:17" ht="12.5">
      <c r="I76" s="63"/>
      <c r="Q76" s="48"/>
    </row>
    <row r="77" spans="9:17" ht="12.5">
      <c r="I77" s="63"/>
      <c r="Q77" s="48"/>
    </row>
    <row r="78" spans="9:17" ht="12.5">
      <c r="I78" s="63"/>
      <c r="Q78" s="48"/>
    </row>
    <row r="79" spans="9:17" ht="12.5">
      <c r="I79" s="63"/>
      <c r="Q79" s="48"/>
    </row>
    <row r="80" spans="9:17" ht="12.5">
      <c r="I80" s="63"/>
      <c r="Q80" s="48"/>
    </row>
    <row r="81" spans="9:17" ht="12.5">
      <c r="I81" s="63"/>
      <c r="Q81" s="48"/>
    </row>
    <row r="82" spans="9:17" ht="12.5">
      <c r="I82" s="63"/>
      <c r="Q82" s="48"/>
    </row>
    <row r="83" spans="9:17" ht="12.5">
      <c r="I83" s="63"/>
      <c r="Q83" s="48"/>
    </row>
    <row r="84" spans="9:17" ht="12.5">
      <c r="I84" s="63"/>
      <c r="Q84" s="48"/>
    </row>
    <row r="85" spans="9:17" ht="12.5">
      <c r="I85" s="63"/>
      <c r="Q85" s="48"/>
    </row>
    <row r="86" spans="9:17" ht="12.5">
      <c r="I86" s="63"/>
      <c r="Q86" s="48"/>
    </row>
    <row r="87" spans="9:17" ht="12.5">
      <c r="I87" s="63"/>
      <c r="Q87" s="48"/>
    </row>
    <row r="88" spans="9:17" ht="12.5">
      <c r="I88" s="63"/>
      <c r="Q88" s="48"/>
    </row>
    <row r="89" spans="9:17" ht="12.5">
      <c r="I89" s="63"/>
      <c r="Q89" s="48"/>
    </row>
    <row r="90" spans="9:17" ht="12.5">
      <c r="I90" s="63"/>
      <c r="Q90" s="48"/>
    </row>
    <row r="91" spans="9:17" ht="12.5">
      <c r="I91" s="63"/>
      <c r="Q91" s="48"/>
    </row>
    <row r="92" spans="9:17" ht="12.5">
      <c r="I92" s="63"/>
      <c r="Q92" s="48"/>
    </row>
    <row r="93" spans="9:17" ht="12.5">
      <c r="I93" s="63"/>
      <c r="Q93" s="48"/>
    </row>
    <row r="94" spans="9:17" ht="12.5">
      <c r="I94" s="63"/>
      <c r="Q94" s="48"/>
    </row>
    <row r="95" spans="9:17" ht="12.5">
      <c r="I95" s="63"/>
      <c r="Q95" s="48"/>
    </row>
    <row r="96" spans="9:17" ht="12.5">
      <c r="I96" s="63"/>
      <c r="Q96" s="48"/>
    </row>
    <row r="97" spans="9:17" ht="12.5">
      <c r="I97" s="63"/>
      <c r="Q97" s="48"/>
    </row>
    <row r="98" spans="9:17" ht="12.5">
      <c r="I98" s="63"/>
      <c r="Q98" s="48"/>
    </row>
    <row r="99" spans="9:17" ht="12.5">
      <c r="I99" s="63"/>
      <c r="Q99" s="48"/>
    </row>
    <row r="100" spans="9:17" ht="12.5">
      <c r="I100" s="63"/>
      <c r="Q100" s="48"/>
    </row>
    <row r="101" spans="9:17" ht="12.5">
      <c r="I101" s="63"/>
      <c r="Q101" s="48"/>
    </row>
    <row r="102" spans="9:17" ht="12.5">
      <c r="I102" s="63"/>
      <c r="Q102" s="48"/>
    </row>
    <row r="103" spans="9:17" ht="12.5">
      <c r="I103" s="63"/>
      <c r="Q103" s="48"/>
    </row>
    <row r="104" spans="9:17" ht="12.5">
      <c r="I104" s="63"/>
      <c r="Q104" s="48"/>
    </row>
    <row r="105" spans="9:17" ht="12.5">
      <c r="I105" s="63"/>
      <c r="Q105" s="48"/>
    </row>
    <row r="106" spans="9:17" ht="12.5">
      <c r="I106" s="63"/>
      <c r="Q106" s="48"/>
    </row>
    <row r="107" spans="9:17" ht="12.5">
      <c r="I107" s="63"/>
      <c r="Q107" s="48"/>
    </row>
    <row r="108" spans="9:17" ht="12.5">
      <c r="I108" s="63"/>
      <c r="Q108" s="48"/>
    </row>
    <row r="109" spans="9:17" ht="12.5">
      <c r="I109" s="63"/>
      <c r="Q109" s="48"/>
    </row>
    <row r="110" spans="9:17" ht="12.5">
      <c r="I110" s="63"/>
      <c r="Q110" s="48"/>
    </row>
    <row r="111" spans="9:17" ht="12.5">
      <c r="I111" s="63"/>
      <c r="Q111" s="48"/>
    </row>
    <row r="112" spans="9:17" ht="12.5">
      <c r="I112" s="63"/>
      <c r="Q112" s="48"/>
    </row>
    <row r="113" spans="9:17" ht="12.5">
      <c r="I113" s="63"/>
      <c r="Q113" s="48"/>
    </row>
    <row r="114" spans="9:17" ht="12.5">
      <c r="I114" s="63"/>
      <c r="Q114" s="48"/>
    </row>
    <row r="115" spans="9:17" ht="12.5">
      <c r="I115" s="63"/>
      <c r="Q115" s="48"/>
    </row>
    <row r="116" spans="9:17" ht="12.5">
      <c r="I116" s="63"/>
      <c r="Q116" s="48"/>
    </row>
  </sheetData>
  <customSheetViews>
    <customSheetView guid="{514A3C1B-6CCE-4092-BFD9-4C5D5EA6EC62}" filter="1" showAutoFilter="1">
      <pageMargins left="0.7" right="0.7" top="0.75" bottom="0.75" header="0.3" footer="0.3"/>
      <autoFilter ref="O1:O110" xr:uid="{ECF2888F-B15B-4DE0-BCD6-88F831F0601E}"/>
    </customSheetView>
    <customSheetView guid="{D7E9DF7F-435C-42AE-99B1-3E185F308F5A}" filter="1" showAutoFilter="1">
      <pageMargins left="0.7" right="0.7" top="0.75" bottom="0.75" header="0.3" footer="0.3"/>
      <autoFilter ref="H1:H110" xr:uid="{F868EBC8-E845-4195-B169-684BCFCC1EF2}"/>
    </customSheetView>
  </customSheetViews>
  <hyperlinks>
    <hyperlink ref="I2" r:id="rId1" xr:uid="{00000000-0004-0000-0100-000000000000}"/>
    <hyperlink ref="I3" r:id="rId2" xr:uid="{00000000-0004-0000-0100-000001000000}"/>
    <hyperlink ref="I4" r:id="rId3" xr:uid="{00000000-0004-0000-0100-000002000000}"/>
    <hyperlink ref="I5" r:id="rId4" xr:uid="{00000000-0004-0000-0100-000003000000}"/>
    <hyperlink ref="I6" r:id="rId5" xr:uid="{00000000-0004-0000-0100-000004000000}"/>
    <hyperlink ref="I7" r:id="rId6" xr:uid="{00000000-0004-0000-0100-000005000000}"/>
    <hyperlink ref="I8" r:id="rId7" xr:uid="{00000000-0004-0000-0100-000006000000}"/>
    <hyperlink ref="I9" r:id="rId8" xr:uid="{00000000-0004-0000-0100-000007000000}"/>
    <hyperlink ref="I10" r:id="rId9" xr:uid="{00000000-0004-0000-0100-000008000000}"/>
    <hyperlink ref="I11" r:id="rId10" xr:uid="{00000000-0004-0000-0100-000009000000}"/>
    <hyperlink ref="I12" r:id="rId11" xr:uid="{00000000-0004-0000-0100-00000A000000}"/>
    <hyperlink ref="I13" r:id="rId12" xr:uid="{00000000-0004-0000-0100-00000B000000}"/>
    <hyperlink ref="I14" r:id="rId13" xr:uid="{00000000-0004-0000-0100-00000C000000}"/>
    <hyperlink ref="I15" r:id="rId14" xr:uid="{00000000-0004-0000-0100-00000D000000}"/>
    <hyperlink ref="I16" r:id="rId15" xr:uid="{00000000-0004-0000-0100-00000E000000}"/>
    <hyperlink ref="I17" r:id="rId16" xr:uid="{00000000-0004-0000-0100-00000F000000}"/>
    <hyperlink ref="I18" r:id="rId17" xr:uid="{00000000-0004-0000-0100-000010000000}"/>
    <hyperlink ref="I19" r:id="rId18" xr:uid="{00000000-0004-0000-0100-000011000000}"/>
    <hyperlink ref="I20" r:id="rId19" xr:uid="{00000000-0004-0000-0100-000012000000}"/>
    <hyperlink ref="I21" r:id="rId20" xr:uid="{00000000-0004-0000-0100-000013000000}"/>
    <hyperlink ref="I22" r:id="rId21" xr:uid="{00000000-0004-0000-0100-000014000000}"/>
  </hyperlinks>
  <printOptions horizontalCentered="1" gridLines="1"/>
  <pageMargins left="0.7" right="0.7" top="0.75" bottom="0.75" header="0" footer="0"/>
  <pageSetup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iso320-1k-cryostat</vt:lpstr>
      <vt:lpstr>Old - 1K Krister BOM</vt:lpstr>
      <vt:lpstr>Old - Second ORDER 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McCaughan, Adam N. (Fed)</cp:lastModifiedBy>
  <dcterms:modified xsi:type="dcterms:W3CDTF">2026-09-02T23:08:36Z</dcterms:modified>
</cp:coreProperties>
</file>