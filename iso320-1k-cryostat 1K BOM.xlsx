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K Krister BOM" sheetId="1" r:id="rId4"/>
    <sheet state="visible" name="Second ORDER BOM" sheetId="2" r:id="rId5"/>
  </sheets>
  <definedNames>
    <definedName hidden="1" localSheetId="0" name="Z_514A3C1B_6CCE_4092_BFD9_4C5D5EA6EC62_.wvu.FilterData">'1K Krister BOM'!$O$1:$O$117</definedName>
    <definedName hidden="1" localSheetId="1" name="Z_514A3C1B_6CCE_4092_BFD9_4C5D5EA6EC62_.wvu.FilterData">'Second ORDER BOM'!$O$1:$O$110</definedName>
    <definedName hidden="1" localSheetId="0" name="Z_D7E9DF7F_435C_42AE_99B1_3E185F308F5A_.wvu.FilterData">'1K Krister BOM'!$H$1:$H$117</definedName>
    <definedName hidden="1" localSheetId="1" name="Z_D7E9DF7F_435C_42AE_99B1_3E185F308F5A_.wvu.FilterData">'Second ORDER BOM'!$H$1:$H$110</definedName>
  </definedNames>
  <calcPr/>
  <customWorkbookViews>
    <customWorkbookView activeSheetId="0" maximized="1" windowHeight="0" windowWidth="0" guid="{D7E9DF7F-435C-42AE-99B1-3E185F308F5A}" name="Vendor FIlter"/>
    <customWorkbookView activeSheetId="0" maximized="1" windowHeight="0" windowWidth="0" guid="{514A3C1B-6CCE-4092-BFD9-4C5D5EA6EC62}" name="Ordered Filter"/>
  </customWorkbookViews>
</workbook>
</file>

<file path=xl/sharedStrings.xml><?xml version="1.0" encoding="utf-8"?>
<sst xmlns="http://schemas.openxmlformats.org/spreadsheetml/2006/main" count="345" uniqueCount="149">
  <si>
    <t>Where is it used?</t>
  </si>
  <si>
    <t>Price</t>
  </si>
  <si>
    <t># per pkg</t>
  </si>
  <si>
    <t># needed</t>
  </si>
  <si>
    <t># pkg to buy</t>
  </si>
  <si>
    <t>Part #</t>
  </si>
  <si>
    <t>Vendor</t>
  </si>
  <si>
    <t>Link</t>
  </si>
  <si>
    <t>Alternate Vendors</t>
  </si>
  <si>
    <t>Alternate Part #</t>
  </si>
  <si>
    <t>Alternate links</t>
  </si>
  <si>
    <t>Sub-Total</t>
  </si>
  <si>
    <t>Adding Sub-total</t>
  </si>
  <si>
    <t>Ordered?</t>
  </si>
  <si>
    <t>Who ordered</t>
  </si>
  <si>
    <t>Date</t>
  </si>
  <si>
    <t>PO Number</t>
  </si>
  <si>
    <t>Expected</t>
  </si>
  <si>
    <t>Where sent</t>
  </si>
  <si>
    <t>Where stored</t>
  </si>
  <si>
    <t>Individual subtotals</t>
  </si>
  <si>
    <t>Notes</t>
  </si>
  <si>
    <t>Ideal Vacuum Cube 9x9x9 in.</t>
  </si>
  <si>
    <t>Cube Frame</t>
  </si>
  <si>
    <t>P109589</t>
  </si>
  <si>
    <t>Ideal Vacuum Products</t>
  </si>
  <si>
    <t>https://www.idealvac.com/en-us/Ideal-Vacuum-Cube-9x9x9-in-Vacuum-Chamber-Frame-6061-T6-Aluminum-Alloy/pp/P109589</t>
  </si>
  <si>
    <t>Ideal Vacuum Cube Hardware Kit, Designed For 9x9x9 Cubes, Includes Viton O-rings And Plate Bolts</t>
  </si>
  <si>
    <t>Cube Walls to Frame</t>
  </si>
  <si>
    <t>P109824</t>
  </si>
  <si>
    <t>https://www.idealvac.com/Ideal-Vacuum-Cube-Hardware-Kit/pp/P109824</t>
  </si>
  <si>
    <t>Ideal Vacuum O-Ring Removal Tool, Non Scratch Polycarbonate, Keeps O-Ring Seals and Grooves from Damage</t>
  </si>
  <si>
    <t>Install/removing o-rings</t>
  </si>
  <si>
    <t>P1010547</t>
  </si>
  <si>
    <t>https://www.idealvac.com/Ideal-Vacuum-Cube-Plate-Maintenance-and-Service-Tool-Kit/pp/P1010554</t>
  </si>
  <si>
    <t>Ideal Vacuum Cube, 9x9x9 in., Multicube Inner Connection Coupling Kit, Includes Hardware and Seals.</t>
  </si>
  <si>
    <t>Between Two Cube Frames</t>
  </si>
  <si>
    <t>P1012249</t>
  </si>
  <si>
    <t>https://www.idealvac.com/Ideal-Vacuum-Cube/pp/P1012249</t>
  </si>
  <si>
    <t>CENTERING RING,QF160,SS INNER AL OUTER,FKM O-RING</t>
  </si>
  <si>
    <t>iso 160 centering ring</t>
  </si>
  <si>
    <t>P101769</t>
  </si>
  <si>
    <t>https://www.idealvac.com/ISO-160-Centering-Ring-Aluminum-with-Viton-O-Ring-NW-160-Vacuum-Flange-Size-Typically-Used-with-6-Inch-OD-(1524-mm)-Tubing/pp/P101769</t>
  </si>
  <si>
    <t>9x9 Plate with ISO-160 port</t>
  </si>
  <si>
    <t>Top of cube (RDK101 Mount) (1/10)</t>
  </si>
  <si>
    <t>P1012389</t>
  </si>
  <si>
    <t>https://www.idealvac.com/en-us/Ideal-Vacuum-Cube/pp/P1012389</t>
  </si>
  <si>
    <t>9x9 Blank Plate</t>
  </si>
  <si>
    <t>Bot Cube: Bot (2/10)</t>
  </si>
  <si>
    <t>P109590</t>
  </si>
  <si>
    <t>https://www.idealvac.com/Ideal-Vacuum-Cube-9x9-in-Vacuum-Chamber-Blank-Plate/pp/P109590</t>
  </si>
  <si>
    <t>Still require 2 x of yellow highlighted items. Only order enoguh for 1 cryostat.</t>
  </si>
  <si>
    <t>Ideal Vacuum Cube, 9x9 Vacuum Chamber, Plate With 4 KF-40 (NW-40) Pumping of Feedthrough Ports</t>
  </si>
  <si>
    <t>Top Cube Wall pump out (3/10)</t>
  </si>
  <si>
    <t>P1010939</t>
  </si>
  <si>
    <t>https://www.idealvac.com/Ideal-Vacuum-Cube/pp/P1010939</t>
  </si>
  <si>
    <t>Ideal Vacuum Cube, 9x9 Vacuum Chamber Plate With One Each KF-50 (NW-50) Pumping or Feedthrough Port</t>
  </si>
  <si>
    <t>1 x on top Cube, 1 x on bottom cube (5/10)</t>
  </si>
  <si>
    <t>P109595</t>
  </si>
  <si>
    <t>https://www.idealvac.com/Ideal-Vacuum-Cube/pp/P109595</t>
  </si>
  <si>
    <t>Ideal Vacuum Cube 9x9 in. Vacuum Chamber Blank Plate, Without Flanged Ports, 6061-T6 Aluminum Alloy</t>
  </si>
  <si>
    <t>2x on top, 3x on bottom, 1 extra (11/10)</t>
  </si>
  <si>
    <t>Ideal Vacuum Cube Quick Knob Assembly, Includes Quick Knob, Fastener, Fastening Bolt (1ea)</t>
  </si>
  <si>
    <t>3 x on bottom hinge wall</t>
  </si>
  <si>
    <t>P107936</t>
  </si>
  <si>
    <t>https://www.idealvac.com/Ideal-Vacuum-Cube-Quick-Knob-Assembly/pp/P107936</t>
  </si>
  <si>
    <t>Custom iso160 full nipple 5.5" length</t>
  </si>
  <si>
    <t>Ontop of cryostat iso160. Used in place of flexible bellow</t>
  </si>
  <si>
    <t>ISO160-600-NS</t>
  </si>
  <si>
    <t>LDS Vacuum</t>
  </si>
  <si>
    <t>https://www.ldsvacuumshopper.com/isshornip3.html</t>
  </si>
  <si>
    <t>ISO-160 Claw Clamp Kit (4x) 5-16/18</t>
  </si>
  <si>
    <t>2x8 For RDK101. REQUIRE LESKER CLAMPS</t>
  </si>
  <si>
    <t>QF-SSC-ALJ</t>
  </si>
  <si>
    <t>Lesker</t>
  </si>
  <si>
    <t>https://www.lesker.com/newweb/flanges/hardware_iso_clamps.cfm?pgid=singleal</t>
  </si>
  <si>
    <t>Chemical-Resistant Viton® Fluoroelastomer O-Ring 1/8 Fractional Width, Dash Number 240</t>
  </si>
  <si>
    <t>RDK101 O-ring, 1 for use, 1 extra</t>
  </si>
  <si>
    <t>9464K69</t>
  </si>
  <si>
    <t>McMaster-Carr</t>
  </si>
  <si>
    <t>https://www.mcmaster.com/9464K69/</t>
  </si>
  <si>
    <t>Copper Foil 1 Mill</t>
  </si>
  <si>
    <t>1x for 40K, 1x for 4K</t>
  </si>
  <si>
    <t>9709K11</t>
  </si>
  <si>
    <t>https://www.mcmaster.com/9709K11/</t>
  </si>
  <si>
    <t>Belleville Disc Spring for 3/16" Shaft Diameter, 0.190" ID, 0.375" OD, 0.0180" Thick</t>
  </si>
  <si>
    <t>Tension 4K &amp; 40K plates 5x per screw. ,7 screws</t>
  </si>
  <si>
    <t>9712K15</t>
  </si>
  <si>
    <t>https://www.mcmaster.com/9712K15/</t>
  </si>
  <si>
    <t>18-8 Stainless Steel Socket Head Screw 1/4"-20 Thread Size, 3/8" Long</t>
  </si>
  <si>
    <t>Idela vac adapter plate to bottom idealvac wall</t>
  </si>
  <si>
    <t>92196A535</t>
  </si>
  <si>
    <t>https://www.mcmaster.com/92196A535/</t>
  </si>
  <si>
    <t>18-8 Stianless Steel M5 20 mm 0.8mm Coarse Socket Head Screws (Maybe get 22 mm? 1mm left at bottom of screw)</t>
  </si>
  <si>
    <t>RDK to Top Adapter plate</t>
  </si>
  <si>
    <t>91292A128</t>
  </si>
  <si>
    <t>https://www.mcmaster.com/91292A128</t>
  </si>
  <si>
    <t>18-8 Stainless Steel Split Lock Washer
for M5 Screw Size, 5.3 mm ID, 10 mm OD</t>
  </si>
  <si>
    <t xml:space="preserve">92148A170
</t>
  </si>
  <si>
    <t>https://www.mcmaster.com/92148A170/</t>
  </si>
  <si>
    <t>18-8 Stainless Steel Socket Head Screw 4-40 Thread Size, 3/16" Long</t>
  </si>
  <si>
    <t xml:space="preserve">40K Walls (48 per side *4) and Top plate block Plates (32 for both top plates). 4K walls (21 per side *4) + 2 plates (8 * 2). 40K strap requires 16 screws. Total is 340 screws </t>
  </si>
  <si>
    <t>92196A105</t>
  </si>
  <si>
    <t>https://www.mcmaster.com/92196A105/</t>
  </si>
  <si>
    <t>18-8 Stainless Steel Socket Head Screw 4-40 Thread Size, 5/16" Long</t>
  </si>
  <si>
    <t>Top plates (4) &amp; 40K  (4) into bar stock</t>
  </si>
  <si>
    <t>92196A107</t>
  </si>
  <si>
    <t>https://www.mcmaster.com/92196A107/</t>
  </si>
  <si>
    <t>Belleville Disc Spring for 1/8" Shaft Diameter, 0.125" ID, 0.25" OD, 0.0130" Thick</t>
  </si>
  <si>
    <t xml:space="preserve">Top 40K plates (4) &amp; Bottom 40K  (4) into bar stock = 8 *5 Top 4K plates (4) and Bottom 4K plates (4) = 8 * 5. Total is 40  (40K) + 40 (4K) = 80 </t>
  </si>
  <si>
    <t>9712K54</t>
  </si>
  <si>
    <t>https://www.mcmaster.com/9712K54/</t>
  </si>
  <si>
    <t>Aluminum Socket Head Screw M4 x 0.7 mm Thread, 16 mm Long</t>
  </si>
  <si>
    <t>Cold Heads. Long enough to accomidate sandwhich cold straps. Total is 8 + 6 = 14</t>
  </si>
  <si>
    <t>98511A743</t>
  </si>
  <si>
    <t>https://www.mcmaster.com/98511A743/</t>
  </si>
  <si>
    <t>Cold strap plates to 40K and 4K cold head. 4 (40K) + 8 (4K) = total of 12</t>
  </si>
  <si>
    <t>92196A191</t>
  </si>
  <si>
    <t>https://www.mcmaster.com/92196A191/</t>
  </si>
  <si>
    <t>18-8 Stainless Steel Socket Head Screw 6-32 Thread Size, 5/8" Long</t>
  </si>
  <si>
    <t>Require 12 to fasten 1K stage to 4K stage. Also require12 for 4K heat strap</t>
  </si>
  <si>
    <t>92196A150</t>
  </si>
  <si>
    <t>https://www.mcmaster.com/92196A150/</t>
  </si>
  <si>
    <t>303 Stainless Steel Knurled Knob with 10-24 Threaded Hole, 3/8" Deep, 3/4" Diameter Head</t>
  </si>
  <si>
    <t>40K Walls (Knobs are $6.61 for 10 or more)</t>
  </si>
  <si>
    <t>60205K64</t>
  </si>
  <si>
    <t>https://www.mcmaster.com/60205K64/</t>
  </si>
  <si>
    <t>18-8 Stainless Steel Socket Head Screw 10-24 Thread Size, 3/8" Long</t>
  </si>
  <si>
    <t>40K wall knobs</t>
  </si>
  <si>
    <t>92196A240</t>
  </si>
  <si>
    <t>https://www.mcmaster.com/92196A240/</t>
  </si>
  <si>
    <t xml:space="preserve"> Stainless Steel Raised Knurled-Head Thumb Screw 4-40 Thread Size, 1/4" Long, 3/8" Diameter Head</t>
  </si>
  <si>
    <t>4K walls</t>
  </si>
  <si>
    <t>Belleville Spring Lock Washer 17-7 PH Stainless Steel, for Number 6 Screw Size, 0.143" ID, 0.341" OD</t>
  </si>
  <si>
    <t>91235A102</t>
  </si>
  <si>
    <t>https://www.mcmaster.com/91235a102/</t>
  </si>
  <si>
    <t>Stainless Steel Raised Knurled-Head Thumb Screw 4-40 Thread Size, 1/4" Long, 3/8" Diameter Head</t>
  </si>
  <si>
    <t>4K knobs</t>
  </si>
  <si>
    <t>91830A101</t>
  </si>
  <si>
    <t>https://www.mcmaster.com/91830A101/</t>
  </si>
  <si>
    <t>Total:</t>
  </si>
  <si>
    <t>Items for One Cryostat</t>
  </si>
  <si>
    <t>SKW</t>
  </si>
  <si>
    <t>SW240364</t>
  </si>
  <si>
    <t>https://www.ldsnipplefabricator.com/</t>
  </si>
  <si>
    <t>SW240365</t>
  </si>
  <si>
    <t>5 days Pending mfg</t>
  </si>
  <si>
    <t>SW240366</t>
  </si>
  <si>
    <t>SW240367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</si>
</sst>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&quot;$&quot;#,##0"/>
    <numFmt numFmtId="166" formatCode="&quot;$&quot;#,##0.00"/>
    <numFmt numFmtId="167" formatCode="m/d/yy"/>
  </numFmts>
  <fonts count="31">
    <font>
      <sz val="10.0"/>
      <color rgb="FF000000"/>
      <name val="Arial"/>
      <scheme val="minor"/>
    </font>
    <font>
      <b/>
      <sz val="10.0"/>
      <color theme="1"/>
      <name val="Arial"/>
    </font>
    <font>
      <b/>
      <sz val="10.0"/>
      <color rgb="FF343434"/>
      <name val="Arial"/>
    </font>
    <font>
      <b/>
      <color theme="1"/>
      <name val="Arial"/>
      <scheme val="minor"/>
    </font>
    <font>
      <sz val="10.0"/>
      <color theme="1"/>
      <name val="Arial"/>
    </font>
    <font>
      <u/>
      <sz val="10.0"/>
      <color rgb="FF0000FF"/>
      <name val="Arial"/>
    </font>
    <font>
      <sz val="10.0"/>
      <color rgb="FF000000"/>
      <name val="Arial"/>
    </font>
    <font>
      <color theme="1"/>
      <name val="Arial"/>
      <scheme val="minor"/>
    </font>
    <font>
      <u/>
      <sz val="10.0"/>
      <color rgb="FF0000FF"/>
      <name val="Arial"/>
    </font>
    <font>
      <b/>
      <sz val="13.0"/>
      <color theme="1"/>
      <name val="Arial"/>
      <scheme val="minor"/>
    </font>
    <font>
      <u/>
      <sz val="10.0"/>
      <color rgb="FF0000FF"/>
      <name val="Arial"/>
    </font>
    <font>
      <sz val="10.0"/>
      <color rgb="FF333333"/>
      <name val="Arial"/>
    </font>
    <font>
      <u/>
      <sz val="10.0"/>
      <color rgb="FF0000FF"/>
      <name val="Arial"/>
    </font>
    <font>
      <u/>
      <sz val="10.0"/>
      <color rgb="FF1155CC"/>
      <name val="Arial"/>
    </font>
    <font>
      <sz val="9.0"/>
      <color rgb="FF333333"/>
      <name val="HelveticaNeueeTextPro-Roman"/>
    </font>
    <font>
      <u/>
      <sz val="10.0"/>
      <color rgb="FF0000FF"/>
      <name val="Arial"/>
    </font>
    <font>
      <sz val="9.0"/>
      <color rgb="FF333333"/>
      <name val="Arial"/>
    </font>
    <font>
      <u/>
      <color rgb="FF1155CC"/>
      <name val="Arial"/>
    </font>
    <font>
      <u/>
      <color rgb="FF0000FF"/>
    </font>
    <font>
      <u/>
      <color rgb="FF0000FF"/>
    </font>
    <font>
      <color theme="1"/>
      <name val="Arial"/>
    </font>
    <font>
      <u/>
      <color rgb="FF0000FF"/>
      <name val="Arial"/>
    </font>
    <font>
      <sz val="9.0"/>
      <color rgb="FF000000"/>
      <name val="&quot;Google Sans&quot;"/>
    </font>
    <font>
      <sz val="9.0"/>
      <color rgb="FF000000"/>
      <name val="&quot;Google Sans Mono&quot;"/>
    </font>
    <font>
      <sz val="9.0"/>
      <color rgb="FF000000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0.0"/>
      <color rgb="FF1155CC"/>
      <name val="Arial"/>
    </font>
    <font>
      <u/>
      <color rgb="FF1155CC"/>
      <name val="Arial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3" numFmtId="0" xfId="0" applyFont="1"/>
    <xf borderId="1" fillId="3" fontId="4" numFmtId="0" xfId="0" applyAlignment="1" applyBorder="1" applyFill="1" applyFont="1">
      <alignment readingOrder="0" shrinkToFit="0" wrapText="1"/>
    </xf>
    <xf borderId="1" fillId="3" fontId="4" numFmtId="165" xfId="0" applyAlignment="1" applyBorder="1" applyFont="1" applyNumberFormat="1">
      <alignment readingOrder="0" shrinkToFit="0" wrapText="1"/>
    </xf>
    <xf borderId="1" fillId="3" fontId="4" numFmtId="0" xfId="0" applyAlignment="1" applyBorder="1" applyFont="1">
      <alignment shrinkToFit="0" wrapText="1"/>
    </xf>
    <xf borderId="1" fillId="3" fontId="5" numFmtId="0" xfId="0" applyAlignment="1" applyBorder="1" applyFont="1">
      <alignment readingOrder="0" shrinkToFit="0" wrapText="0"/>
    </xf>
    <xf borderId="1" fillId="3" fontId="4" numFmtId="0" xfId="0" applyBorder="1" applyFont="1"/>
    <xf borderId="1" fillId="3" fontId="4" numFmtId="165" xfId="0" applyBorder="1" applyFont="1" applyNumberFormat="1"/>
    <xf borderId="1" fillId="3" fontId="6" numFmtId="165" xfId="0" applyBorder="1" applyFont="1" applyNumberFormat="1"/>
    <xf borderId="1" fillId="3" fontId="4" numFmtId="0" xfId="0" applyAlignment="1" applyBorder="1" applyFont="1">
      <alignment readingOrder="0"/>
    </xf>
    <xf borderId="0" fillId="0" fontId="4" numFmtId="0" xfId="0" applyFont="1"/>
    <xf borderId="0" fillId="0" fontId="4" numFmtId="164" xfId="0" applyAlignment="1" applyFont="1" applyNumberFormat="1">
      <alignment readingOrder="0"/>
    </xf>
    <xf borderId="0" fillId="0" fontId="7" numFmtId="165" xfId="0" applyFont="1" applyNumberFormat="1"/>
    <xf borderId="1" fillId="3" fontId="4" numFmtId="0" xfId="0" applyAlignment="1" applyBorder="1" applyFont="1">
      <alignment horizontal="left" readingOrder="0" shrinkToFit="0" wrapText="1"/>
    </xf>
    <xf borderId="1" fillId="3" fontId="4" numFmtId="166" xfId="0" applyAlignment="1" applyBorder="1" applyFont="1" applyNumberFormat="1">
      <alignment readingOrder="0" shrinkToFit="0" wrapText="1"/>
    </xf>
    <xf borderId="1" fillId="3" fontId="6" numFmtId="0" xfId="0" applyAlignment="1" applyBorder="1" applyFont="1">
      <alignment horizontal="left" readingOrder="0" shrinkToFit="0" wrapText="1"/>
    </xf>
    <xf borderId="1" fillId="3" fontId="4" numFmtId="166" xfId="0" applyBorder="1" applyFont="1" applyNumberFormat="1"/>
    <xf borderId="1" fillId="3" fontId="4" numFmtId="0" xfId="0" applyAlignment="1" applyBorder="1" applyFont="1">
      <alignment readingOrder="0" shrinkToFit="0" wrapText="1"/>
    </xf>
    <xf borderId="1" fillId="3" fontId="8" numFmtId="0" xfId="0" applyAlignment="1" applyBorder="1" applyFont="1">
      <alignment readingOrder="0" shrinkToFit="0" wrapText="0"/>
    </xf>
    <xf borderId="0" fillId="2" fontId="6" numFmtId="0" xfId="0" applyAlignment="1" applyFont="1">
      <alignment readingOrder="0"/>
    </xf>
    <xf borderId="0" fillId="0" fontId="9" numFmtId="0" xfId="0" applyAlignment="1" applyFont="1">
      <alignment readingOrder="0" shrinkToFit="0" wrapText="1"/>
    </xf>
    <xf borderId="1" fillId="4" fontId="4" numFmtId="0" xfId="0" applyAlignment="1" applyBorder="1" applyFill="1" applyFont="1">
      <alignment horizontal="left" readingOrder="0" shrinkToFit="0" wrapText="1"/>
    </xf>
    <xf borderId="1" fillId="4" fontId="4" numFmtId="0" xfId="0" applyAlignment="1" applyBorder="1" applyFont="1">
      <alignment readingOrder="0" shrinkToFit="0" wrapText="1"/>
    </xf>
    <xf borderId="1" fillId="4" fontId="4" numFmtId="166" xfId="0" applyAlignment="1" applyBorder="1" applyFont="1" applyNumberFormat="1">
      <alignment readingOrder="0" shrinkToFit="0" wrapText="1"/>
    </xf>
    <xf borderId="1" fillId="4" fontId="4" numFmtId="0" xfId="0" applyAlignment="1" applyBorder="1" applyFont="1">
      <alignment shrinkToFit="0" wrapText="1"/>
    </xf>
    <xf borderId="1" fillId="4" fontId="10" numFmtId="0" xfId="0" applyAlignment="1" applyBorder="1" applyFont="1">
      <alignment readingOrder="0" shrinkToFit="0" wrapText="0"/>
    </xf>
    <xf borderId="1" fillId="4" fontId="4" numFmtId="0" xfId="0" applyBorder="1" applyFont="1"/>
    <xf borderId="1" fillId="4" fontId="4" numFmtId="166" xfId="0" applyBorder="1" applyFont="1" applyNumberFormat="1"/>
    <xf borderId="1" fillId="4" fontId="6" numFmtId="165" xfId="0" applyBorder="1" applyFont="1" applyNumberFormat="1"/>
    <xf borderId="1" fillId="4" fontId="4" numFmtId="0" xfId="0" applyAlignment="1" applyBorder="1" applyFont="1">
      <alignment readingOrder="0"/>
    </xf>
    <xf borderId="0" fillId="0" fontId="7" numFmtId="166" xfId="0" applyFont="1" applyNumberFormat="1"/>
    <xf borderId="1" fillId="4" fontId="6" numFmtId="0" xfId="0" applyAlignment="1" applyBorder="1" applyFont="1">
      <alignment readingOrder="0" shrinkToFit="0" wrapText="1"/>
    </xf>
    <xf borderId="1" fillId="4" fontId="11" numFmtId="0" xfId="0" applyAlignment="1" applyBorder="1" applyFont="1">
      <alignment readingOrder="0" shrinkToFit="0" wrapText="1"/>
    </xf>
    <xf borderId="1" fillId="4" fontId="4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/>
    </xf>
    <xf borderId="1" fillId="4" fontId="6" numFmtId="0" xfId="0" applyAlignment="1" applyBorder="1" applyFont="1">
      <alignment horizontal="left" readingOrder="0" shrinkToFit="0" wrapText="1"/>
    </xf>
    <xf borderId="1" fillId="4" fontId="12" numFmtId="0" xfId="0" applyAlignment="1" applyBorder="1" applyFont="1">
      <alignment readingOrder="0" shrinkToFit="0" wrapText="0"/>
    </xf>
    <xf borderId="1" fillId="4" fontId="4" numFmtId="0" xfId="0" applyAlignment="1" applyBorder="1" applyFont="1">
      <alignment readingOrder="0" shrinkToFit="0" vertical="bottom" wrapText="1"/>
    </xf>
    <xf borderId="1" fillId="4" fontId="4" numFmtId="166" xfId="0" applyAlignment="1" applyBorder="1" applyFont="1" applyNumberFormat="1">
      <alignment horizontal="right" shrinkToFit="0" vertical="bottom" wrapText="1"/>
    </xf>
    <xf borderId="1" fillId="4" fontId="11" numFmtId="0" xfId="0" applyAlignment="1" applyBorder="1" applyFont="1">
      <alignment shrinkToFit="0" vertical="bottom" wrapText="1"/>
    </xf>
    <xf borderId="1" fillId="4" fontId="13" numFmtId="0" xfId="0" applyAlignment="1" applyBorder="1" applyFont="1">
      <alignment shrinkToFit="0" vertical="bottom" wrapText="0"/>
    </xf>
    <xf borderId="1" fillId="4" fontId="11" numFmtId="0" xfId="0" applyAlignment="1" applyBorder="1" applyFont="1">
      <alignment horizontal="left" readingOrder="0" shrinkToFit="0" wrapText="1"/>
    </xf>
    <xf borderId="1" fillId="4" fontId="14" numFmtId="0" xfId="0" applyAlignment="1" applyBorder="1" applyFont="1">
      <alignment readingOrder="0"/>
    </xf>
    <xf borderId="1" fillId="4" fontId="15" numFmtId="0" xfId="0" applyAlignment="1" applyBorder="1" applyFont="1">
      <alignment readingOrder="0" shrinkToFit="0" wrapText="1"/>
    </xf>
    <xf borderId="0" fillId="4" fontId="14" numFmtId="0" xfId="0" applyAlignment="1" applyFont="1">
      <alignment readingOrder="0"/>
    </xf>
    <xf borderId="1" fillId="4" fontId="7" numFmtId="0" xfId="0" applyAlignment="1" applyBorder="1" applyFont="1">
      <alignment readingOrder="0" shrinkToFit="0" wrapText="1"/>
    </xf>
    <xf borderId="1" fillId="4" fontId="11" numFmtId="166" xfId="0" applyAlignment="1" applyBorder="1" applyFont="1" applyNumberFormat="1">
      <alignment readingOrder="0" shrinkToFit="0" wrapText="1"/>
    </xf>
    <xf borderId="1" fillId="4" fontId="16" numFmtId="0" xfId="0" applyAlignment="1" applyBorder="1" applyFont="1">
      <alignment readingOrder="0"/>
    </xf>
    <xf borderId="1" fillId="4" fontId="7" numFmtId="0" xfId="0" applyAlignment="1" applyBorder="1" applyFont="1">
      <alignment readingOrder="0"/>
    </xf>
    <xf borderId="1" fillId="4" fontId="17" numFmtId="0" xfId="0" applyAlignment="1" applyBorder="1" applyFont="1">
      <alignment horizontal="left" readingOrder="0"/>
    </xf>
    <xf borderId="1" fillId="4" fontId="7" numFmtId="166" xfId="0" applyAlignment="1" applyBorder="1" applyFont="1" applyNumberFormat="1">
      <alignment readingOrder="0" shrinkToFit="0" wrapText="1"/>
    </xf>
    <xf borderId="1" fillId="4" fontId="18" numFmtId="0" xfId="0" applyAlignment="1" applyBorder="1" applyFont="1">
      <alignment readingOrder="0" shrinkToFit="0" wrapText="0"/>
    </xf>
    <xf borderId="1" fillId="4" fontId="7" numFmtId="0" xfId="0" applyBorder="1" applyFont="1"/>
    <xf borderId="0" fillId="0" fontId="7" numFmtId="164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7" numFmtId="164" xfId="0" applyFont="1" applyNumberFormat="1"/>
    <xf borderId="1" fillId="0" fontId="7" numFmtId="0" xfId="0" applyAlignment="1" applyBorder="1" applyFont="1">
      <alignment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7" numFmtId="166" xfId="0" applyAlignment="1" applyBorder="1" applyFont="1" applyNumberFormat="1">
      <alignment readingOrder="0" shrinkToFit="0" wrapText="1"/>
    </xf>
    <xf borderId="1" fillId="0" fontId="4" numFmtId="0" xfId="0" applyAlignment="1" applyBorder="1" applyFont="1">
      <alignment shrinkToFit="0" wrapText="1"/>
    </xf>
    <xf borderId="1" fillId="2" fontId="14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19" numFmtId="0" xfId="0" applyAlignment="1" applyBorder="1" applyFont="1">
      <alignment readingOrder="0" shrinkToFit="0" wrapText="0"/>
    </xf>
    <xf borderId="1" fillId="0" fontId="7" numFmtId="0" xfId="0" applyBorder="1" applyFont="1"/>
    <xf borderId="1" fillId="0" fontId="4" numFmtId="166" xfId="0" applyBorder="1" applyFont="1" applyNumberFormat="1"/>
    <xf borderId="1" fillId="0" fontId="6" numFmtId="165" xfId="0" applyBorder="1" applyFont="1" applyNumberFormat="1"/>
    <xf borderId="1" fillId="0" fontId="4" numFmtId="0" xfId="0" applyAlignment="1" applyBorder="1" applyFont="1">
      <alignment readingOrder="0"/>
    </xf>
    <xf borderId="1" fillId="0" fontId="20" numFmtId="0" xfId="0" applyAlignment="1" applyBorder="1" applyFont="1">
      <alignment readingOrder="0" shrinkToFit="0" vertical="bottom" wrapText="1"/>
    </xf>
    <xf borderId="1" fillId="0" fontId="21" numFmtId="0" xfId="0" applyAlignment="1" applyBorder="1" applyFont="1">
      <alignment horizontal="right" readingOrder="0" shrinkToFit="0" vertical="bottom" wrapText="0"/>
    </xf>
    <xf borderId="1" fillId="0" fontId="20" numFmtId="166" xfId="0" applyAlignment="1" applyBorder="1" applyFont="1" applyNumberFormat="1">
      <alignment horizontal="right" vertical="bottom"/>
    </xf>
    <xf borderId="1" fillId="0" fontId="20" numFmtId="0" xfId="0" applyAlignment="1" applyBorder="1" applyFont="1">
      <alignment vertical="bottom"/>
    </xf>
    <xf borderId="0" fillId="0" fontId="7" numFmtId="0" xfId="0" applyAlignment="1" applyFont="1">
      <alignment readingOrder="0"/>
    </xf>
    <xf borderId="0" fillId="0" fontId="20" numFmtId="0" xfId="0" applyAlignment="1" applyFont="1">
      <alignment readingOrder="0" shrinkToFit="0" vertical="bottom" wrapText="1"/>
    </xf>
    <xf borderId="0" fillId="0" fontId="7" numFmtId="166" xfId="0" applyAlignment="1" applyFont="1" applyNumberFormat="1">
      <alignment readingOrder="0"/>
    </xf>
    <xf borderId="0" fillId="0" fontId="22" numFmtId="0" xfId="0" applyAlignment="1" applyFont="1">
      <alignment readingOrder="0"/>
    </xf>
    <xf borderId="0" fillId="0" fontId="20" numFmtId="0" xfId="0" applyAlignment="1" applyFont="1">
      <alignment vertical="bottom"/>
    </xf>
    <xf borderId="0" fillId="0" fontId="7" numFmtId="0" xfId="0" applyAlignment="1" applyFont="1">
      <alignment readingOrder="0" shrinkToFit="0" wrapText="0"/>
    </xf>
    <xf borderId="0" fillId="0" fontId="23" numFmtId="0" xfId="0" applyFont="1"/>
    <xf borderId="0" fillId="2" fontId="24" numFmtId="166" xfId="0" applyAlignment="1" applyFont="1" applyNumberFormat="1">
      <alignment horizontal="right" readingOrder="0" vertical="top"/>
    </xf>
    <xf borderId="0" fillId="0" fontId="7" numFmtId="165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7" numFmtId="0" xfId="0" applyAlignment="1" applyFont="1">
      <alignment readingOrder="0" shrinkToFit="0" wrapText="0"/>
    </xf>
    <xf borderId="0" fillId="2" fontId="24" numFmtId="165" xfId="0" applyAlignment="1" applyFont="1" applyNumberFormat="1">
      <alignment horizontal="right" readingOrder="0" vertical="top"/>
    </xf>
    <xf borderId="0" fillId="0" fontId="7" numFmtId="0" xfId="0" applyAlignment="1" applyFont="1">
      <alignment shrinkToFit="0" wrapText="0"/>
    </xf>
    <xf borderId="0" fillId="2" fontId="7" numFmtId="0" xfId="0" applyFont="1"/>
    <xf borderId="0" fillId="3" fontId="7" numFmtId="0" xfId="0" applyAlignment="1" applyFont="1">
      <alignment readingOrder="0"/>
    </xf>
    <xf borderId="0" fillId="3" fontId="7" numFmtId="165" xfId="0" applyFont="1" applyNumberFormat="1"/>
    <xf borderId="0" fillId="2" fontId="23" numFmtId="0" xfId="0" applyFont="1"/>
    <xf borderId="1" fillId="0" fontId="4" numFmtId="0" xfId="0" applyAlignment="1" applyBorder="1" applyFont="1">
      <alignment horizontal="left" readingOrder="0" shrinkToFit="0" wrapText="1"/>
    </xf>
    <xf borderId="1" fillId="0" fontId="4" numFmtId="166" xfId="0" applyAlignment="1" applyBorder="1" applyFont="1" applyNumberFormat="1">
      <alignment readingOrder="0" shrinkToFit="0" wrapText="1"/>
    </xf>
    <xf borderId="1" fillId="0" fontId="25" numFmtId="0" xfId="0" applyAlignment="1" applyBorder="1" applyFont="1">
      <alignment readingOrder="0" shrinkToFit="0" wrapText="0"/>
    </xf>
    <xf borderId="1" fillId="0" fontId="4" numFmtId="0" xfId="0" applyBorder="1" applyFont="1"/>
    <xf borderId="1" fillId="0" fontId="6" numFmtId="166" xfId="0" applyBorder="1" applyFont="1" applyNumberFormat="1"/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1" fillId="0" fontId="6" numFmtId="0" xfId="0" applyAlignment="1" applyBorder="1" applyFont="1">
      <alignment readingOrder="0" shrinkToFit="0" wrapText="1"/>
    </xf>
    <xf borderId="1" fillId="0" fontId="26" numFmtId="0" xfId="0" applyAlignment="1" applyBorder="1" applyFont="1">
      <alignment readingOrder="0" shrinkToFit="0" wrapText="1"/>
    </xf>
    <xf borderId="1" fillId="0" fontId="11" numFmtId="0" xfId="0" applyAlignment="1" applyBorder="1" applyFont="1">
      <alignment readingOrder="0" shrinkToFit="0" wrapText="1"/>
    </xf>
    <xf borderId="1" fillId="0" fontId="4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left" readingOrder="0" shrinkToFit="0" wrapText="1"/>
    </xf>
    <xf borderId="1" fillId="0" fontId="27" numFmtId="0" xfId="0" applyAlignment="1" applyBorder="1" applyFont="1">
      <alignment readingOrder="0" shrinkToFit="0" wrapText="1"/>
    </xf>
    <xf borderId="1" fillId="0" fontId="4" numFmtId="0" xfId="0" applyAlignment="1" applyBorder="1" applyFont="1">
      <alignment readingOrder="0" shrinkToFit="0" vertical="bottom" wrapText="1"/>
    </xf>
    <xf borderId="1" fillId="0" fontId="4" numFmtId="166" xfId="0" applyAlignment="1" applyBorder="1" applyFont="1" applyNumberFormat="1">
      <alignment horizontal="right" shrinkToFit="0" vertical="bottom" wrapText="1"/>
    </xf>
    <xf borderId="1" fillId="0" fontId="11" numFmtId="0" xfId="0" applyAlignment="1" applyBorder="1" applyFont="1">
      <alignment shrinkToFit="0" vertical="bottom" wrapText="1"/>
    </xf>
    <xf borderId="1" fillId="0" fontId="28" numFmtId="0" xfId="0" applyAlignment="1" applyBorder="1" applyFont="1">
      <alignment shrinkToFit="0" vertical="bottom" wrapText="1"/>
    </xf>
    <xf borderId="1" fillId="0" fontId="11" numFmtId="0" xfId="0" applyAlignment="1" applyBorder="1" applyFont="1">
      <alignment horizontal="left" readingOrder="0" shrinkToFit="0" wrapText="1"/>
    </xf>
    <xf borderId="1" fillId="0" fontId="14" numFmtId="0" xfId="0" applyAlignment="1" applyBorder="1" applyFont="1">
      <alignment readingOrder="0"/>
    </xf>
    <xf borderId="1" fillId="0" fontId="11" numFmtId="166" xfId="0" applyAlignment="1" applyBorder="1" applyFont="1" applyNumberFormat="1">
      <alignment readingOrder="0" shrinkToFit="0" wrapText="1"/>
    </xf>
    <xf borderId="1" fillId="0" fontId="16" numFmtId="0" xfId="0" applyAlignment="1" applyBorder="1" applyFont="1">
      <alignment readingOrder="0"/>
    </xf>
    <xf borderId="1" fillId="0" fontId="29" numFmtId="0" xfId="0" applyAlignment="1" applyBorder="1" applyFont="1">
      <alignment horizontal="left" readingOrder="0" shrinkToFit="0" wrapText="1"/>
    </xf>
    <xf borderId="1" fillId="0" fontId="30" numFmtId="0" xfId="0" applyAlignment="1" applyBorder="1" applyFont="1">
      <alignment readingOrder="0" shrinkToFit="0" wrapText="1"/>
    </xf>
    <xf borderId="0" fillId="0" fontId="14" numFmtId="0" xfId="0" applyAlignment="1" applyFont="1">
      <alignment horizontal="right"/>
    </xf>
    <xf borderId="1" fillId="0" fontId="20" numFmtId="0" xfId="0" applyAlignment="1" applyBorder="1" applyFont="1">
      <alignment shrinkToFit="0" vertical="bottom" wrapText="1"/>
    </xf>
    <xf borderId="1" fillId="0" fontId="7" numFmtId="0" xfId="0" applyAlignment="1" applyBorder="1" applyFont="1">
      <alignment readingOrder="0" shrinkToFit="0" wrapText="0"/>
    </xf>
    <xf borderId="1" fillId="0" fontId="6" numFmtId="0" xfId="0" applyBorder="1" applyFont="1"/>
    <xf borderId="1" fillId="0" fontId="22" numFmtId="0" xfId="0" applyAlignment="1" applyBorder="1" applyFont="1">
      <alignment readingOrder="0" shrinkToFit="0" wrapText="1"/>
    </xf>
    <xf borderId="1" fillId="0" fontId="20" numFmtId="0" xfId="0" applyAlignment="1" applyBorder="1" applyFont="1">
      <alignment horizontal="right" readingOrder="0" shrinkToFit="0" vertical="bottom" wrapText="0"/>
    </xf>
    <xf borderId="0" fillId="3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mcmaster.com/92196A105/" TargetMode="External"/><Relationship Id="rId22" Type="http://schemas.openxmlformats.org/officeDocument/2006/relationships/hyperlink" Target="https://www.mcmaster.com/9712K54/" TargetMode="External"/><Relationship Id="rId21" Type="http://schemas.openxmlformats.org/officeDocument/2006/relationships/hyperlink" Target="https://www.mcmaster.com/92196A107/" TargetMode="External"/><Relationship Id="rId24" Type="http://schemas.openxmlformats.org/officeDocument/2006/relationships/hyperlink" Target="https://www.mcmaster.com/92196A191/" TargetMode="External"/><Relationship Id="rId23" Type="http://schemas.openxmlformats.org/officeDocument/2006/relationships/hyperlink" Target="https://www.mcmaster.com/98511A743/" TargetMode="External"/><Relationship Id="rId1" Type="http://schemas.openxmlformats.org/officeDocument/2006/relationships/hyperlink" Target="https://www.idealvac.com/en-us/Ideal-Vacuum-Cube-9x9x9-in-Vacuum-Chamber-Frame-6061-T6-Aluminum-Alloy/pp/P109589" TargetMode="External"/><Relationship Id="rId2" Type="http://schemas.openxmlformats.org/officeDocument/2006/relationships/hyperlink" Target="https://www.idealvac.com/Ideal-Vacuum-Cube-Hardware-Kit/pp/P109824" TargetMode="External"/><Relationship Id="rId3" Type="http://schemas.openxmlformats.org/officeDocument/2006/relationships/hyperlink" Target="https://www.idealvac.com/Ideal-Vacuum-Cube-Plate-Maintenance-and-Service-Tool-Kit/pp/P1010554" TargetMode="External"/><Relationship Id="rId4" Type="http://schemas.openxmlformats.org/officeDocument/2006/relationships/hyperlink" Target="https://www.idealvac.com/Ideal-Vacuum-Cube/pp/P1012249" TargetMode="External"/><Relationship Id="rId9" Type="http://schemas.openxmlformats.org/officeDocument/2006/relationships/hyperlink" Target="https://www.idealvac.com/Ideal-Vacuum-Cube/pp/P109595" TargetMode="External"/><Relationship Id="rId26" Type="http://schemas.openxmlformats.org/officeDocument/2006/relationships/hyperlink" Target="https://www.mcmaster.com/60205K64/" TargetMode="External"/><Relationship Id="rId25" Type="http://schemas.openxmlformats.org/officeDocument/2006/relationships/hyperlink" Target="https://www.mcmaster.com/92196A150/" TargetMode="External"/><Relationship Id="rId28" Type="http://schemas.openxmlformats.org/officeDocument/2006/relationships/hyperlink" Target="https://www.mcmaster.com/60205K64/" TargetMode="External"/><Relationship Id="rId27" Type="http://schemas.openxmlformats.org/officeDocument/2006/relationships/hyperlink" Target="https://www.mcmaster.com/92196A240/" TargetMode="External"/><Relationship Id="rId5" Type="http://schemas.openxmlformats.org/officeDocument/2006/relationships/hyperlink" Target="https://www.idealvac.com/ISO-160-Centering-Ring-Aluminum-with-Viton-O-Ring-NW-160-Vacuum-Flange-Size-Typically-Used-with-6-Inch-OD-(1524-mm)-Tubing/pp/P101769" TargetMode="External"/><Relationship Id="rId6" Type="http://schemas.openxmlformats.org/officeDocument/2006/relationships/hyperlink" Target="https://www.idealvac.com/en-us/Ideal-Vacuum-Cube/pp/P1012389" TargetMode="External"/><Relationship Id="rId29" Type="http://schemas.openxmlformats.org/officeDocument/2006/relationships/hyperlink" Target="https://www.mcmaster.com/91235a102/" TargetMode="External"/><Relationship Id="rId7" Type="http://schemas.openxmlformats.org/officeDocument/2006/relationships/hyperlink" Target="https://www.idealvac.com/Ideal-Vacuum-Cube-9x9-in-Vacuum-Chamber-Blank-Plate/pp/P109590" TargetMode="External"/><Relationship Id="rId8" Type="http://schemas.openxmlformats.org/officeDocument/2006/relationships/hyperlink" Target="https://www.idealvac.com/Ideal-Vacuum-Cube/pp/P1010939" TargetMode="External"/><Relationship Id="rId31" Type="http://schemas.openxmlformats.org/officeDocument/2006/relationships/drawing" Target="../drawings/drawing1.xml"/><Relationship Id="rId30" Type="http://schemas.openxmlformats.org/officeDocument/2006/relationships/hyperlink" Target="https://www.mcmaster.com/91830A101/" TargetMode="External"/><Relationship Id="rId11" Type="http://schemas.openxmlformats.org/officeDocument/2006/relationships/hyperlink" Target="https://www.idealvac.com/Ideal-Vacuum-Cube-Quick-Knob-Assembly/pp/P107936" TargetMode="External"/><Relationship Id="rId10" Type="http://schemas.openxmlformats.org/officeDocument/2006/relationships/hyperlink" Target="https://www.idealvac.com/Ideal-Vacuum-Cube-9x9-in-Vacuum-Chamber-Blank-Plate/pp/P109590" TargetMode="External"/><Relationship Id="rId13" Type="http://schemas.openxmlformats.org/officeDocument/2006/relationships/hyperlink" Target="https://www.lesker.com/newweb/flanges/hardware_iso_clamps.cfm?pgid=singleal" TargetMode="External"/><Relationship Id="rId12" Type="http://schemas.openxmlformats.org/officeDocument/2006/relationships/hyperlink" Target="https://www.ldsvacuumshopper.com/isshornip3.html" TargetMode="External"/><Relationship Id="rId15" Type="http://schemas.openxmlformats.org/officeDocument/2006/relationships/hyperlink" Target="https://www.mcmaster.com/9709K11/" TargetMode="External"/><Relationship Id="rId14" Type="http://schemas.openxmlformats.org/officeDocument/2006/relationships/hyperlink" Target="https://www.mcmaster.com/9464K69/" TargetMode="External"/><Relationship Id="rId17" Type="http://schemas.openxmlformats.org/officeDocument/2006/relationships/hyperlink" Target="https://www.mcmaster.com/92196A535/" TargetMode="External"/><Relationship Id="rId16" Type="http://schemas.openxmlformats.org/officeDocument/2006/relationships/hyperlink" Target="https://www.mcmaster.com/9712K15/" TargetMode="External"/><Relationship Id="rId19" Type="http://schemas.openxmlformats.org/officeDocument/2006/relationships/hyperlink" Target="https://www.mcmaster.com/92148A170/" TargetMode="External"/><Relationship Id="rId18" Type="http://schemas.openxmlformats.org/officeDocument/2006/relationships/hyperlink" Target="https://www.mcmaster.com/91292A128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mcmaster.com/92196A240/" TargetMode="External"/><Relationship Id="rId22" Type="http://schemas.openxmlformats.org/officeDocument/2006/relationships/drawing" Target="../drawings/drawing2.xml"/><Relationship Id="rId21" Type="http://schemas.openxmlformats.org/officeDocument/2006/relationships/hyperlink" Target="https://www.mcmaster.com/60205K64/" TargetMode="External"/><Relationship Id="rId1" Type="http://schemas.openxmlformats.org/officeDocument/2006/relationships/hyperlink" Target="https://www.idealvac.com/Ideal-Vacuum-Cube/pp/P1010939" TargetMode="External"/><Relationship Id="rId2" Type="http://schemas.openxmlformats.org/officeDocument/2006/relationships/hyperlink" Target="https://www.idealvac.com/Ideal-Vacuum-Cube/pp/P109595" TargetMode="External"/><Relationship Id="rId3" Type="http://schemas.openxmlformats.org/officeDocument/2006/relationships/hyperlink" Target="https://www.idealvac.com/Ideal-Vacuum-Cube-9x9-in-Vacuum-Chamber-Blank-Plate/pp/P109590" TargetMode="External"/><Relationship Id="rId4" Type="http://schemas.openxmlformats.org/officeDocument/2006/relationships/hyperlink" Target="https://www.idealvac.com/Ideal-Vacuum-Cube-Quick-Knob-Assembly/pp/P107936" TargetMode="External"/><Relationship Id="rId9" Type="http://schemas.openxmlformats.org/officeDocument/2006/relationships/hyperlink" Target="https://www.mcmaster.com/9712K15/" TargetMode="External"/><Relationship Id="rId5" Type="http://schemas.openxmlformats.org/officeDocument/2006/relationships/hyperlink" Target="https://www.ldsnipplefabricator.com/" TargetMode="External"/><Relationship Id="rId6" Type="http://schemas.openxmlformats.org/officeDocument/2006/relationships/hyperlink" Target="https://www.lesker.com/newweb/flanges/hardware_iso_clamps.cfm?pgid=singleal" TargetMode="External"/><Relationship Id="rId7" Type="http://schemas.openxmlformats.org/officeDocument/2006/relationships/hyperlink" Target="https://www.mcmaster.com/9464K69/" TargetMode="External"/><Relationship Id="rId8" Type="http://schemas.openxmlformats.org/officeDocument/2006/relationships/hyperlink" Target="https://www.mcmaster.com/9709K11/" TargetMode="External"/><Relationship Id="rId11" Type="http://schemas.openxmlformats.org/officeDocument/2006/relationships/hyperlink" Target="https://www.mcmaster.com/91292A128" TargetMode="External"/><Relationship Id="rId10" Type="http://schemas.openxmlformats.org/officeDocument/2006/relationships/hyperlink" Target="https://www.mcmaster.com/92196A535/" TargetMode="External"/><Relationship Id="rId13" Type="http://schemas.openxmlformats.org/officeDocument/2006/relationships/hyperlink" Target="https://www.mcmaster.com/92196A105/" TargetMode="External"/><Relationship Id="rId12" Type="http://schemas.openxmlformats.org/officeDocument/2006/relationships/hyperlink" Target="https://www.mcmaster.com/92148A170/" TargetMode="External"/><Relationship Id="rId15" Type="http://schemas.openxmlformats.org/officeDocument/2006/relationships/hyperlink" Target="https://www.mcmaster.com/9712K54/" TargetMode="External"/><Relationship Id="rId14" Type="http://schemas.openxmlformats.org/officeDocument/2006/relationships/hyperlink" Target="https://www.mcmaster.com/92196A107/" TargetMode="External"/><Relationship Id="rId17" Type="http://schemas.openxmlformats.org/officeDocument/2006/relationships/hyperlink" Target="https://www.mcmaster.com/92196A191/" TargetMode="External"/><Relationship Id="rId16" Type="http://schemas.openxmlformats.org/officeDocument/2006/relationships/hyperlink" Target="https://www.mcmaster.com/98511A743/" TargetMode="External"/><Relationship Id="rId19" Type="http://schemas.openxmlformats.org/officeDocument/2006/relationships/hyperlink" Target="https://www.mcmaster.com/60205K64/" TargetMode="External"/><Relationship Id="rId18" Type="http://schemas.openxmlformats.org/officeDocument/2006/relationships/hyperlink" Target="https://www.mcmaster.com/92196A15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25"/>
    <col customWidth="1" min="2" max="2" width="36.38"/>
    <col customWidth="1" min="3" max="3" width="7.13"/>
    <col customWidth="1" min="4" max="5" width="8.75"/>
    <col customWidth="1" min="6" max="6" width="14.25"/>
    <col customWidth="1" min="8" max="8" width="20.13"/>
    <col customWidth="1" min="9" max="9" width="21.38"/>
    <col customWidth="1" min="10" max="10" width="9.5"/>
    <col customWidth="1" min="11" max="11" width="5.25"/>
    <col customWidth="1" min="12" max="12" width="7.38"/>
    <col customWidth="1" min="13" max="13" width="10.88"/>
    <col customWidth="1" min="14" max="14" width="18.5"/>
    <col customWidth="1" min="16" max="16" width="6.5"/>
    <col customWidth="1" min="17" max="17" width="7.38"/>
    <col customWidth="1" min="18" max="18" width="7.0"/>
    <col customWidth="1" min="19" max="19" width="5.75"/>
    <col customWidth="1" min="20" max="20" width="3.5"/>
    <col customWidth="1" min="21" max="21" width="4.25"/>
    <col customWidth="1" min="22" max="22" width="17.38"/>
    <col customWidth="1" min="23" max="23" width="59.25"/>
    <col customWidth="1" min="24" max="24" width="17.38"/>
  </cols>
  <sheetData>
    <row r="1" ht="50.25" customHeight="1">
      <c r="A1" s="1"/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6</v>
      </c>
      <c r="I1" s="4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5" t="s">
        <v>15</v>
      </c>
      <c r="R1" s="6" t="s">
        <v>16</v>
      </c>
      <c r="S1" s="1" t="s">
        <v>17</v>
      </c>
      <c r="T1" s="1" t="s">
        <v>18</v>
      </c>
      <c r="U1" s="1" t="s">
        <v>19</v>
      </c>
      <c r="V1" s="7" t="s">
        <v>20</v>
      </c>
      <c r="W1" s="7" t="s">
        <v>21</v>
      </c>
      <c r="X1" s="8"/>
      <c r="Y1" s="8"/>
      <c r="Z1" s="8"/>
      <c r="AA1" s="8"/>
      <c r="AB1" s="8"/>
    </row>
    <row r="2">
      <c r="A2" s="9" t="s">
        <v>22</v>
      </c>
      <c r="B2" s="9" t="s">
        <v>23</v>
      </c>
      <c r="C2" s="10">
        <v>1108.0</v>
      </c>
      <c r="D2" s="9">
        <v>1.0</v>
      </c>
      <c r="E2" s="9">
        <v>2.0</v>
      </c>
      <c r="F2" s="11">
        <f t="shared" ref="F2:F30" si="1">CEILING(E2/D2,1)</f>
        <v>2</v>
      </c>
      <c r="G2" s="9" t="s">
        <v>24</v>
      </c>
      <c r="H2" s="9" t="s">
        <v>25</v>
      </c>
      <c r="I2" s="12" t="s">
        <v>26</v>
      </c>
      <c r="J2" s="13"/>
      <c r="K2" s="13"/>
      <c r="L2" s="13"/>
      <c r="M2" s="14">
        <f t="shared" ref="M2:M31" si="2">F2*C2</f>
        <v>2216</v>
      </c>
      <c r="N2" s="15">
        <f>M2</f>
        <v>2216</v>
      </c>
      <c r="O2" s="16" t="b">
        <v>0</v>
      </c>
      <c r="P2" s="17"/>
      <c r="Q2" s="18"/>
      <c r="R2" s="17"/>
      <c r="S2" s="17"/>
      <c r="T2" s="17"/>
      <c r="U2" s="17"/>
      <c r="V2" s="19">
        <f>M2</f>
        <v>2216</v>
      </c>
    </row>
    <row r="3">
      <c r="A3" s="20" t="s">
        <v>27</v>
      </c>
      <c r="B3" s="9" t="s">
        <v>28</v>
      </c>
      <c r="C3" s="21">
        <v>74.75</v>
      </c>
      <c r="D3" s="9">
        <v>1.0</v>
      </c>
      <c r="E3" s="9">
        <v>2.0</v>
      </c>
      <c r="F3" s="11">
        <f t="shared" si="1"/>
        <v>2</v>
      </c>
      <c r="G3" s="22" t="s">
        <v>29</v>
      </c>
      <c r="H3" s="9" t="s">
        <v>25</v>
      </c>
      <c r="I3" s="12" t="s">
        <v>30</v>
      </c>
      <c r="J3" s="13"/>
      <c r="K3" s="13"/>
      <c r="L3" s="13"/>
      <c r="M3" s="23">
        <f t="shared" si="2"/>
        <v>149.5</v>
      </c>
      <c r="N3" s="15">
        <f t="shared" ref="N3:N31" si="3">N2+M3</f>
        <v>2365.5</v>
      </c>
      <c r="O3" s="16" t="b">
        <v>0</v>
      </c>
      <c r="P3" s="17"/>
      <c r="Q3" s="18"/>
      <c r="R3" s="17"/>
      <c r="S3" s="17"/>
      <c r="T3" s="17"/>
      <c r="U3" s="17"/>
      <c r="V3" s="19">
        <f t="shared" ref="V3:V8" si="4">V2+M3</f>
        <v>2365.5</v>
      </c>
    </row>
    <row r="4">
      <c r="A4" s="24" t="s">
        <v>31</v>
      </c>
      <c r="B4" s="9" t="s">
        <v>32</v>
      </c>
      <c r="C4" s="21">
        <v>1.2</v>
      </c>
      <c r="D4" s="9">
        <v>1.0</v>
      </c>
      <c r="E4" s="9">
        <v>1.0</v>
      </c>
      <c r="F4" s="11">
        <f t="shared" si="1"/>
        <v>1</v>
      </c>
      <c r="G4" s="9" t="s">
        <v>33</v>
      </c>
      <c r="H4" s="9" t="s">
        <v>25</v>
      </c>
      <c r="I4" s="25" t="s">
        <v>34</v>
      </c>
      <c r="J4" s="13"/>
      <c r="K4" s="13"/>
      <c r="L4" s="13"/>
      <c r="M4" s="23">
        <f t="shared" si="2"/>
        <v>1.2</v>
      </c>
      <c r="N4" s="15">
        <f t="shared" si="3"/>
        <v>2366.7</v>
      </c>
      <c r="O4" s="16" t="b">
        <v>0</v>
      </c>
      <c r="P4" s="17"/>
      <c r="Q4" s="18"/>
      <c r="R4" s="17"/>
      <c r="S4" s="17"/>
      <c r="T4" s="17"/>
      <c r="U4" s="17"/>
      <c r="V4" s="19">
        <f t="shared" si="4"/>
        <v>2366.7</v>
      </c>
    </row>
    <row r="5">
      <c r="A5" s="9" t="s">
        <v>35</v>
      </c>
      <c r="B5" s="9" t="s">
        <v>36</v>
      </c>
      <c r="C5" s="21">
        <v>429.95</v>
      </c>
      <c r="D5" s="9">
        <v>1.0</v>
      </c>
      <c r="E5" s="9">
        <v>1.0</v>
      </c>
      <c r="F5" s="11">
        <f t="shared" si="1"/>
        <v>1</v>
      </c>
      <c r="G5" s="9" t="s">
        <v>37</v>
      </c>
      <c r="H5" s="9" t="s">
        <v>25</v>
      </c>
      <c r="I5" s="12" t="s">
        <v>38</v>
      </c>
      <c r="J5" s="13"/>
      <c r="K5" s="13"/>
      <c r="L5" s="13"/>
      <c r="M5" s="23">
        <f t="shared" si="2"/>
        <v>429.95</v>
      </c>
      <c r="N5" s="15">
        <f t="shared" si="3"/>
        <v>2796.65</v>
      </c>
      <c r="O5" s="16" t="b">
        <v>0</v>
      </c>
      <c r="P5" s="17"/>
      <c r="Q5" s="18"/>
      <c r="R5" s="17"/>
      <c r="S5" s="17"/>
      <c r="T5" s="17"/>
      <c r="U5" s="17"/>
      <c r="V5" s="19">
        <f t="shared" si="4"/>
        <v>2796.65</v>
      </c>
    </row>
    <row r="6">
      <c r="A6" s="9" t="s">
        <v>39</v>
      </c>
      <c r="B6" s="9" t="s">
        <v>40</v>
      </c>
      <c r="C6" s="21">
        <v>69.51</v>
      </c>
      <c r="D6" s="9">
        <v>1.0</v>
      </c>
      <c r="E6" s="9">
        <v>1.0</v>
      </c>
      <c r="F6" s="11">
        <f t="shared" si="1"/>
        <v>1</v>
      </c>
      <c r="G6" s="9" t="s">
        <v>41</v>
      </c>
      <c r="H6" s="9" t="s">
        <v>25</v>
      </c>
      <c r="I6" s="25" t="s">
        <v>42</v>
      </c>
      <c r="J6" s="13"/>
      <c r="K6" s="13"/>
      <c r="L6" s="13"/>
      <c r="M6" s="23">
        <f t="shared" si="2"/>
        <v>69.51</v>
      </c>
      <c r="N6" s="15">
        <f t="shared" si="3"/>
        <v>2866.16</v>
      </c>
      <c r="O6" s="16" t="b">
        <v>0</v>
      </c>
      <c r="P6" s="17"/>
      <c r="Q6" s="18"/>
      <c r="R6" s="17"/>
      <c r="S6" s="17"/>
      <c r="T6" s="17"/>
      <c r="U6" s="17"/>
      <c r="V6" s="19">
        <f t="shared" si="4"/>
        <v>2866.16</v>
      </c>
    </row>
    <row r="7">
      <c r="A7" s="9" t="s">
        <v>43</v>
      </c>
      <c r="B7" s="9" t="s">
        <v>44</v>
      </c>
      <c r="C7" s="10">
        <v>289.1</v>
      </c>
      <c r="D7" s="9">
        <v>1.0</v>
      </c>
      <c r="E7" s="9">
        <v>1.0</v>
      </c>
      <c r="F7" s="11">
        <f t="shared" si="1"/>
        <v>1</v>
      </c>
      <c r="G7" s="9" t="s">
        <v>45</v>
      </c>
      <c r="H7" s="9" t="s">
        <v>25</v>
      </c>
      <c r="I7" s="25" t="s">
        <v>46</v>
      </c>
      <c r="J7" s="13"/>
      <c r="K7" s="13"/>
      <c r="L7" s="13"/>
      <c r="M7" s="14">
        <f t="shared" si="2"/>
        <v>289.1</v>
      </c>
      <c r="N7" s="15">
        <f t="shared" si="3"/>
        <v>3155.26</v>
      </c>
      <c r="O7" s="16" t="b">
        <v>0</v>
      </c>
      <c r="P7" s="17"/>
      <c r="Q7" s="18"/>
      <c r="R7" s="26"/>
      <c r="S7" s="17"/>
      <c r="T7" s="17"/>
      <c r="U7" s="17"/>
      <c r="V7" s="19">
        <f t="shared" si="4"/>
        <v>3155.26</v>
      </c>
    </row>
    <row r="8">
      <c r="A8" s="9" t="s">
        <v>47</v>
      </c>
      <c r="B8" s="9" t="s">
        <v>48</v>
      </c>
      <c r="C8" s="10">
        <v>181.0</v>
      </c>
      <c r="D8" s="9">
        <v>1.0</v>
      </c>
      <c r="E8" s="9">
        <v>1.0</v>
      </c>
      <c r="F8" s="11">
        <f t="shared" si="1"/>
        <v>1</v>
      </c>
      <c r="G8" s="9" t="s">
        <v>49</v>
      </c>
      <c r="H8" s="9" t="s">
        <v>25</v>
      </c>
      <c r="I8" s="25" t="s">
        <v>50</v>
      </c>
      <c r="J8" s="13"/>
      <c r="K8" s="13"/>
      <c r="L8" s="13"/>
      <c r="M8" s="14">
        <f t="shared" si="2"/>
        <v>181</v>
      </c>
      <c r="N8" s="15">
        <f t="shared" si="3"/>
        <v>3336.26</v>
      </c>
      <c r="O8" s="16" t="b">
        <v>0</v>
      </c>
      <c r="P8" s="17"/>
      <c r="Q8" s="18"/>
      <c r="R8" s="26"/>
      <c r="S8" s="17"/>
      <c r="T8" s="17"/>
      <c r="U8" s="17"/>
      <c r="V8" s="19">
        <f t="shared" si="4"/>
        <v>3336.26</v>
      </c>
      <c r="W8" s="27" t="s">
        <v>51</v>
      </c>
    </row>
    <row r="9">
      <c r="A9" s="28" t="s">
        <v>52</v>
      </c>
      <c r="B9" s="29" t="s">
        <v>53</v>
      </c>
      <c r="C9" s="30">
        <v>226.91</v>
      </c>
      <c r="D9" s="29">
        <v>1.0</v>
      </c>
      <c r="E9" s="29">
        <v>1.0</v>
      </c>
      <c r="F9" s="31">
        <f t="shared" si="1"/>
        <v>1</v>
      </c>
      <c r="G9" s="29" t="s">
        <v>54</v>
      </c>
      <c r="H9" s="29" t="s">
        <v>25</v>
      </c>
      <c r="I9" s="32" t="s">
        <v>55</v>
      </c>
      <c r="J9" s="33"/>
      <c r="K9" s="33"/>
      <c r="L9" s="33"/>
      <c r="M9" s="34">
        <f t="shared" si="2"/>
        <v>226.91</v>
      </c>
      <c r="N9" s="35">
        <f t="shared" si="3"/>
        <v>3563.17</v>
      </c>
      <c r="O9" s="36" t="b">
        <v>0</v>
      </c>
      <c r="P9" s="17"/>
      <c r="Q9" s="18"/>
      <c r="R9" s="26"/>
      <c r="S9" s="17"/>
      <c r="T9" s="17"/>
      <c r="U9" s="17"/>
      <c r="V9" s="37">
        <f>M9</f>
        <v>226.91</v>
      </c>
    </row>
    <row r="10">
      <c r="A10" s="29" t="s">
        <v>56</v>
      </c>
      <c r="B10" s="29" t="s">
        <v>57</v>
      </c>
      <c r="C10" s="30">
        <v>226.91</v>
      </c>
      <c r="D10" s="29">
        <v>1.0</v>
      </c>
      <c r="E10" s="29">
        <v>2.0</v>
      </c>
      <c r="F10" s="31">
        <f t="shared" si="1"/>
        <v>2</v>
      </c>
      <c r="G10" s="29" t="s">
        <v>58</v>
      </c>
      <c r="H10" s="29" t="s">
        <v>25</v>
      </c>
      <c r="I10" s="32" t="s">
        <v>59</v>
      </c>
      <c r="J10" s="33"/>
      <c r="K10" s="33"/>
      <c r="L10" s="33"/>
      <c r="M10" s="34">
        <f t="shared" si="2"/>
        <v>453.82</v>
      </c>
      <c r="N10" s="35">
        <f t="shared" si="3"/>
        <v>4016.99</v>
      </c>
      <c r="O10" s="36" t="b">
        <v>0</v>
      </c>
      <c r="P10" s="17"/>
      <c r="Q10" s="18"/>
      <c r="R10" s="17"/>
      <c r="S10" s="17"/>
      <c r="T10" s="17"/>
      <c r="U10" s="17"/>
      <c r="V10" s="37">
        <f t="shared" ref="V10:V29" si="5">V9+M10</f>
        <v>680.73</v>
      </c>
    </row>
    <row r="11">
      <c r="A11" s="38" t="s">
        <v>60</v>
      </c>
      <c r="B11" s="29" t="s">
        <v>61</v>
      </c>
      <c r="C11" s="30">
        <v>226.91</v>
      </c>
      <c r="D11" s="29">
        <v>1.0</v>
      </c>
      <c r="E11" s="29">
        <v>5.0</v>
      </c>
      <c r="F11" s="31">
        <f t="shared" si="1"/>
        <v>5</v>
      </c>
      <c r="G11" s="29" t="s">
        <v>49</v>
      </c>
      <c r="H11" s="29" t="s">
        <v>25</v>
      </c>
      <c r="I11" s="32" t="s">
        <v>50</v>
      </c>
      <c r="J11" s="33"/>
      <c r="K11" s="33"/>
      <c r="L11" s="33"/>
      <c r="M11" s="34">
        <f t="shared" si="2"/>
        <v>1134.55</v>
      </c>
      <c r="N11" s="35">
        <f t="shared" si="3"/>
        <v>5151.54</v>
      </c>
      <c r="O11" s="36" t="b">
        <v>0</v>
      </c>
      <c r="P11" s="17"/>
      <c r="Q11" s="18"/>
      <c r="R11" s="26"/>
      <c r="S11" s="17"/>
      <c r="T11" s="17"/>
      <c r="U11" s="17"/>
      <c r="V11" s="37">
        <f t="shared" si="5"/>
        <v>1815.28</v>
      </c>
    </row>
    <row r="12">
      <c r="A12" s="29" t="s">
        <v>62</v>
      </c>
      <c r="B12" s="29" t="s">
        <v>63</v>
      </c>
      <c r="C12" s="30">
        <v>26.91</v>
      </c>
      <c r="D12" s="29">
        <v>1.0</v>
      </c>
      <c r="E12" s="29">
        <v>3.0</v>
      </c>
      <c r="F12" s="31">
        <f t="shared" si="1"/>
        <v>3</v>
      </c>
      <c r="G12" s="29" t="s">
        <v>64</v>
      </c>
      <c r="H12" s="29" t="s">
        <v>25</v>
      </c>
      <c r="I12" s="32" t="s">
        <v>65</v>
      </c>
      <c r="J12" s="33"/>
      <c r="K12" s="33"/>
      <c r="L12" s="33"/>
      <c r="M12" s="34">
        <f t="shared" si="2"/>
        <v>80.73</v>
      </c>
      <c r="N12" s="35">
        <f t="shared" si="3"/>
        <v>5232.27</v>
      </c>
      <c r="O12" s="36" t="b">
        <v>0</v>
      </c>
      <c r="P12" s="17"/>
      <c r="Q12" s="18"/>
      <c r="R12" s="17"/>
      <c r="S12" s="17"/>
      <c r="T12" s="17"/>
      <c r="U12" s="17"/>
      <c r="V12" s="37">
        <f t="shared" si="5"/>
        <v>1896.01</v>
      </c>
    </row>
    <row r="13">
      <c r="A13" s="29" t="s">
        <v>66</v>
      </c>
      <c r="B13" s="29" t="s">
        <v>67</v>
      </c>
      <c r="C13" s="30">
        <v>507.24</v>
      </c>
      <c r="D13" s="29">
        <v>1.0</v>
      </c>
      <c r="E13" s="29">
        <v>2.0</v>
      </c>
      <c r="F13" s="31">
        <f t="shared" si="1"/>
        <v>2</v>
      </c>
      <c r="G13" s="29" t="s">
        <v>68</v>
      </c>
      <c r="H13" s="29" t="s">
        <v>69</v>
      </c>
      <c r="I13" s="32" t="s">
        <v>70</v>
      </c>
      <c r="J13" s="33"/>
      <c r="K13" s="33"/>
      <c r="L13" s="33"/>
      <c r="M13" s="34">
        <f t="shared" si="2"/>
        <v>1014.48</v>
      </c>
      <c r="N13" s="35">
        <f t="shared" si="3"/>
        <v>6246.75</v>
      </c>
      <c r="O13" s="36" t="b">
        <v>0</v>
      </c>
      <c r="P13" s="17"/>
      <c r="Q13" s="18"/>
      <c r="R13" s="26"/>
      <c r="S13" s="17"/>
      <c r="T13" s="17"/>
      <c r="U13" s="17"/>
      <c r="V13" s="37">
        <f t="shared" si="5"/>
        <v>2910.49</v>
      </c>
    </row>
    <row r="14">
      <c r="A14" s="29" t="s">
        <v>71</v>
      </c>
      <c r="B14" s="29" t="s">
        <v>72</v>
      </c>
      <c r="C14" s="30">
        <v>4.11</v>
      </c>
      <c r="D14" s="29">
        <v>1.0</v>
      </c>
      <c r="E14" s="29">
        <v>16.0</v>
      </c>
      <c r="F14" s="31">
        <f t="shared" si="1"/>
        <v>16</v>
      </c>
      <c r="G14" s="29" t="s">
        <v>73</v>
      </c>
      <c r="H14" s="29" t="s">
        <v>74</v>
      </c>
      <c r="I14" s="32" t="s">
        <v>75</v>
      </c>
      <c r="J14" s="33"/>
      <c r="K14" s="33"/>
      <c r="L14" s="33"/>
      <c r="M14" s="34">
        <f t="shared" si="2"/>
        <v>65.76</v>
      </c>
      <c r="N14" s="35">
        <f t="shared" si="3"/>
        <v>6312.51</v>
      </c>
      <c r="O14" s="36" t="b">
        <v>0</v>
      </c>
      <c r="P14" s="17"/>
      <c r="Q14" s="18"/>
      <c r="R14" s="26"/>
      <c r="S14" s="17"/>
      <c r="T14" s="17"/>
      <c r="U14" s="17"/>
      <c r="V14" s="37">
        <f t="shared" si="5"/>
        <v>2976.25</v>
      </c>
    </row>
    <row r="15">
      <c r="A15" s="29" t="s">
        <v>76</v>
      </c>
      <c r="B15" s="29" t="s">
        <v>77</v>
      </c>
      <c r="C15" s="30">
        <v>12.86</v>
      </c>
      <c r="D15" s="29">
        <v>5.0</v>
      </c>
      <c r="E15" s="29">
        <v>1.0</v>
      </c>
      <c r="F15" s="31">
        <f t="shared" si="1"/>
        <v>1</v>
      </c>
      <c r="G15" s="39" t="s">
        <v>78</v>
      </c>
      <c r="H15" s="40" t="s">
        <v>79</v>
      </c>
      <c r="I15" s="32" t="s">
        <v>80</v>
      </c>
      <c r="J15" s="33"/>
      <c r="K15" s="33"/>
      <c r="L15" s="33"/>
      <c r="M15" s="34">
        <f t="shared" si="2"/>
        <v>12.86</v>
      </c>
      <c r="N15" s="35">
        <f t="shared" si="3"/>
        <v>6325.37</v>
      </c>
      <c r="O15" s="36" t="b">
        <v>0</v>
      </c>
      <c r="P15" s="17"/>
      <c r="Q15" s="18"/>
      <c r="R15" s="26"/>
      <c r="S15" s="17"/>
      <c r="T15" s="17"/>
      <c r="U15" s="17"/>
      <c r="V15" s="37">
        <f t="shared" si="5"/>
        <v>2989.11</v>
      </c>
    </row>
    <row r="16">
      <c r="A16" s="29" t="s">
        <v>81</v>
      </c>
      <c r="B16" s="29" t="s">
        <v>82</v>
      </c>
      <c r="C16" s="30">
        <v>64.22</v>
      </c>
      <c r="D16" s="29">
        <v>1.0</v>
      </c>
      <c r="E16" s="29">
        <v>2.0</v>
      </c>
      <c r="F16" s="31">
        <f t="shared" si="1"/>
        <v>2</v>
      </c>
      <c r="G16" s="39" t="s">
        <v>83</v>
      </c>
      <c r="H16" s="40" t="s">
        <v>79</v>
      </c>
      <c r="I16" s="32" t="s">
        <v>84</v>
      </c>
      <c r="J16" s="33"/>
      <c r="K16" s="33"/>
      <c r="L16" s="33"/>
      <c r="M16" s="34">
        <f t="shared" si="2"/>
        <v>128.44</v>
      </c>
      <c r="N16" s="35">
        <f t="shared" si="3"/>
        <v>6453.81</v>
      </c>
      <c r="O16" s="36" t="b">
        <v>0</v>
      </c>
      <c r="P16" s="17"/>
      <c r="Q16" s="18"/>
      <c r="R16" s="41"/>
      <c r="S16" s="17"/>
      <c r="T16" s="17"/>
      <c r="U16" s="17"/>
      <c r="V16" s="37">
        <f t="shared" si="5"/>
        <v>3117.55</v>
      </c>
    </row>
    <row r="17">
      <c r="A17" s="42" t="s">
        <v>85</v>
      </c>
      <c r="B17" s="29" t="s">
        <v>86</v>
      </c>
      <c r="C17" s="30">
        <v>8.78</v>
      </c>
      <c r="D17" s="29">
        <v>12.0</v>
      </c>
      <c r="E17" s="29">
        <v>35.0</v>
      </c>
      <c r="F17" s="31">
        <f t="shared" si="1"/>
        <v>3</v>
      </c>
      <c r="G17" s="39" t="s">
        <v>87</v>
      </c>
      <c r="H17" s="40" t="s">
        <v>79</v>
      </c>
      <c r="I17" s="43" t="s">
        <v>88</v>
      </c>
      <c r="J17" s="33"/>
      <c r="K17" s="33"/>
      <c r="L17" s="33"/>
      <c r="M17" s="34">
        <f t="shared" si="2"/>
        <v>26.34</v>
      </c>
      <c r="N17" s="35">
        <f t="shared" si="3"/>
        <v>6480.15</v>
      </c>
      <c r="O17" s="36" t="b">
        <v>0</v>
      </c>
      <c r="P17" s="17"/>
      <c r="Q17" s="18"/>
      <c r="R17" s="41"/>
      <c r="S17" s="17"/>
      <c r="T17" s="17"/>
      <c r="U17" s="17"/>
      <c r="V17" s="37">
        <f t="shared" si="5"/>
        <v>3143.89</v>
      </c>
    </row>
    <row r="18">
      <c r="A18" s="29" t="s">
        <v>89</v>
      </c>
      <c r="B18" s="29" t="s">
        <v>90</v>
      </c>
      <c r="C18" s="30">
        <v>19.67</v>
      </c>
      <c r="D18" s="29">
        <v>50.0</v>
      </c>
      <c r="E18" s="29">
        <v>8.0</v>
      </c>
      <c r="F18" s="31">
        <f t="shared" si="1"/>
        <v>1</v>
      </c>
      <c r="G18" s="39" t="s">
        <v>91</v>
      </c>
      <c r="H18" s="40" t="s">
        <v>79</v>
      </c>
      <c r="I18" s="43" t="s">
        <v>92</v>
      </c>
      <c r="J18" s="33"/>
      <c r="K18" s="33"/>
      <c r="L18" s="33"/>
      <c r="M18" s="34">
        <f t="shared" si="2"/>
        <v>19.67</v>
      </c>
      <c r="N18" s="35">
        <f t="shared" si="3"/>
        <v>6499.82</v>
      </c>
      <c r="O18" s="36" t="b">
        <v>0</v>
      </c>
      <c r="P18" s="17"/>
      <c r="Q18" s="18"/>
      <c r="R18" s="41"/>
      <c r="S18" s="17"/>
      <c r="T18" s="17"/>
      <c r="U18" s="17"/>
      <c r="V18" s="37">
        <f t="shared" si="5"/>
        <v>3163.56</v>
      </c>
    </row>
    <row r="19">
      <c r="A19" s="40" t="s">
        <v>93</v>
      </c>
      <c r="B19" s="40" t="s">
        <v>94</v>
      </c>
      <c r="C19" s="30">
        <v>16.66</v>
      </c>
      <c r="D19" s="29">
        <v>100.0</v>
      </c>
      <c r="E19" s="29">
        <v>4.0</v>
      </c>
      <c r="F19" s="31">
        <f t="shared" si="1"/>
        <v>1</v>
      </c>
      <c r="G19" s="39" t="s">
        <v>95</v>
      </c>
      <c r="H19" s="40" t="s">
        <v>79</v>
      </c>
      <c r="I19" s="43" t="s">
        <v>96</v>
      </c>
      <c r="J19" s="33"/>
      <c r="K19" s="33"/>
      <c r="L19" s="33"/>
      <c r="M19" s="34">
        <f t="shared" si="2"/>
        <v>16.66</v>
      </c>
      <c r="N19" s="35">
        <f t="shared" si="3"/>
        <v>6516.48</v>
      </c>
      <c r="O19" s="36" t="b">
        <v>0</v>
      </c>
      <c r="P19" s="17"/>
      <c r="Q19" s="18"/>
      <c r="R19" s="26"/>
      <c r="S19" s="17"/>
      <c r="T19" s="17"/>
      <c r="U19" s="17"/>
      <c r="V19" s="37">
        <f t="shared" si="5"/>
        <v>3180.22</v>
      </c>
    </row>
    <row r="20">
      <c r="A20" s="44" t="s">
        <v>97</v>
      </c>
      <c r="B20" s="40" t="s">
        <v>94</v>
      </c>
      <c r="C20" s="30">
        <v>3.52</v>
      </c>
      <c r="D20" s="29">
        <v>100.0</v>
      </c>
      <c r="E20" s="29">
        <v>4.0</v>
      </c>
      <c r="F20" s="31">
        <f t="shared" si="1"/>
        <v>1</v>
      </c>
      <c r="G20" s="39" t="s">
        <v>98</v>
      </c>
      <c r="H20" s="40" t="s">
        <v>79</v>
      </c>
      <c r="I20" s="43" t="s">
        <v>99</v>
      </c>
      <c r="J20" s="33"/>
      <c r="K20" s="33"/>
      <c r="L20" s="33"/>
      <c r="M20" s="34">
        <f t="shared" si="2"/>
        <v>3.52</v>
      </c>
      <c r="N20" s="35">
        <f t="shared" si="3"/>
        <v>6520</v>
      </c>
      <c r="O20" s="36" t="b">
        <v>0</v>
      </c>
      <c r="P20" s="17"/>
      <c r="Q20" s="18"/>
      <c r="R20" s="26"/>
      <c r="S20" s="17"/>
      <c r="T20" s="17"/>
      <c r="U20" s="17"/>
      <c r="V20" s="37">
        <f t="shared" si="5"/>
        <v>3183.74</v>
      </c>
    </row>
    <row r="21">
      <c r="A21" s="42" t="s">
        <v>100</v>
      </c>
      <c r="B21" s="42" t="s">
        <v>101</v>
      </c>
      <c r="C21" s="30">
        <v>5.36</v>
      </c>
      <c r="D21" s="29">
        <v>100.0</v>
      </c>
      <c r="E21" s="29">
        <v>324.0</v>
      </c>
      <c r="F21" s="31">
        <f t="shared" si="1"/>
        <v>4</v>
      </c>
      <c r="G21" s="39" t="s">
        <v>102</v>
      </c>
      <c r="H21" s="40" t="s">
        <v>79</v>
      </c>
      <c r="I21" s="43" t="s">
        <v>103</v>
      </c>
      <c r="J21" s="33"/>
      <c r="K21" s="33"/>
      <c r="L21" s="33"/>
      <c r="M21" s="34">
        <f t="shared" si="2"/>
        <v>21.44</v>
      </c>
      <c r="N21" s="35">
        <f t="shared" si="3"/>
        <v>6541.44</v>
      </c>
      <c r="O21" s="36" t="b">
        <v>0</v>
      </c>
      <c r="P21" s="17"/>
      <c r="Q21" s="18"/>
      <c r="R21" s="26"/>
      <c r="S21" s="17"/>
      <c r="T21" s="17"/>
      <c r="U21" s="17"/>
      <c r="V21" s="37">
        <f t="shared" si="5"/>
        <v>3205.18</v>
      </c>
    </row>
    <row r="22">
      <c r="A22" s="40" t="s">
        <v>104</v>
      </c>
      <c r="B22" s="40" t="s">
        <v>105</v>
      </c>
      <c r="C22" s="45">
        <v>6.26</v>
      </c>
      <c r="D22" s="29">
        <v>100.0</v>
      </c>
      <c r="E22" s="29">
        <v>8.0</v>
      </c>
      <c r="F22" s="31">
        <f t="shared" si="1"/>
        <v>1</v>
      </c>
      <c r="G22" s="46" t="s">
        <v>106</v>
      </c>
      <c r="H22" s="40" t="s">
        <v>79</v>
      </c>
      <c r="I22" s="47" t="s">
        <v>107</v>
      </c>
      <c r="J22" s="33"/>
      <c r="K22" s="33"/>
      <c r="L22" s="33"/>
      <c r="M22" s="34">
        <f t="shared" si="2"/>
        <v>6.26</v>
      </c>
      <c r="N22" s="35">
        <f t="shared" si="3"/>
        <v>6547.7</v>
      </c>
      <c r="O22" s="36" t="b">
        <v>0</v>
      </c>
      <c r="P22" s="17"/>
      <c r="Q22" s="18"/>
      <c r="R22" s="17"/>
      <c r="S22" s="17"/>
      <c r="T22" s="17"/>
      <c r="U22" s="17"/>
      <c r="V22" s="37">
        <f t="shared" si="5"/>
        <v>3211.44</v>
      </c>
    </row>
    <row r="23">
      <c r="A23" s="29" t="s">
        <v>108</v>
      </c>
      <c r="B23" s="44" t="s">
        <v>109</v>
      </c>
      <c r="C23" s="30">
        <v>7.48</v>
      </c>
      <c r="D23" s="29">
        <v>12.0</v>
      </c>
      <c r="E23" s="29">
        <v>80.0</v>
      </c>
      <c r="F23" s="31">
        <f t="shared" si="1"/>
        <v>7</v>
      </c>
      <c r="G23" s="39" t="s">
        <v>110</v>
      </c>
      <c r="H23" s="40" t="s">
        <v>79</v>
      </c>
      <c r="I23" s="32" t="s">
        <v>111</v>
      </c>
      <c r="J23" s="33"/>
      <c r="K23" s="33"/>
      <c r="L23" s="33"/>
      <c r="M23" s="34">
        <f t="shared" si="2"/>
        <v>52.36</v>
      </c>
      <c r="N23" s="35">
        <f t="shared" si="3"/>
        <v>6600.06</v>
      </c>
      <c r="O23" s="36" t="b">
        <v>0</v>
      </c>
      <c r="P23" s="17"/>
      <c r="Q23" s="18"/>
      <c r="R23" s="17"/>
      <c r="S23" s="17"/>
      <c r="T23" s="17"/>
      <c r="U23" s="17"/>
      <c r="V23" s="37">
        <f t="shared" si="5"/>
        <v>3263.8</v>
      </c>
    </row>
    <row r="24">
      <c r="A24" s="29" t="s">
        <v>112</v>
      </c>
      <c r="B24" s="29" t="s">
        <v>113</v>
      </c>
      <c r="C24" s="30">
        <v>9.35</v>
      </c>
      <c r="D24" s="29">
        <v>5.0</v>
      </c>
      <c r="E24" s="29">
        <v>3.0</v>
      </c>
      <c r="F24" s="31">
        <f t="shared" si="1"/>
        <v>1</v>
      </c>
      <c r="G24" s="48" t="s">
        <v>114</v>
      </c>
      <c r="H24" s="40" t="s">
        <v>79</v>
      </c>
      <c r="I24" s="32" t="s">
        <v>115</v>
      </c>
      <c r="J24" s="33"/>
      <c r="K24" s="33"/>
      <c r="L24" s="33"/>
      <c r="M24" s="34">
        <f t="shared" si="2"/>
        <v>9.35</v>
      </c>
      <c r="N24" s="35">
        <f t="shared" si="3"/>
        <v>6609.41</v>
      </c>
      <c r="O24" s="36"/>
      <c r="P24" s="17"/>
      <c r="Q24" s="18"/>
      <c r="R24" s="17"/>
      <c r="S24" s="17"/>
      <c r="T24" s="17"/>
      <c r="U24" s="17"/>
      <c r="V24" s="37">
        <f t="shared" si="5"/>
        <v>3273.15</v>
      </c>
    </row>
    <row r="25">
      <c r="A25" s="29" t="s">
        <v>89</v>
      </c>
      <c r="B25" s="29" t="s">
        <v>116</v>
      </c>
      <c r="C25" s="30">
        <v>9.86</v>
      </c>
      <c r="D25" s="29">
        <v>100.0</v>
      </c>
      <c r="E25" s="29">
        <v>12.0</v>
      </c>
      <c r="F25" s="31">
        <f t="shared" si="1"/>
        <v>1</v>
      </c>
      <c r="G25" s="49" t="s">
        <v>117</v>
      </c>
      <c r="H25" s="40" t="s">
        <v>79</v>
      </c>
      <c r="I25" s="50" t="s">
        <v>118</v>
      </c>
      <c r="J25" s="31"/>
      <c r="K25" s="31"/>
      <c r="L25" s="31"/>
      <c r="M25" s="34">
        <f t="shared" si="2"/>
        <v>9.86</v>
      </c>
      <c r="N25" s="35">
        <f t="shared" si="3"/>
        <v>6619.27</v>
      </c>
      <c r="O25" s="36"/>
      <c r="P25" s="17"/>
      <c r="Q25" s="18"/>
      <c r="R25" s="17"/>
      <c r="S25" s="17"/>
      <c r="T25" s="17"/>
      <c r="U25" s="17"/>
      <c r="V25" s="37">
        <f t="shared" si="5"/>
        <v>3283.01</v>
      </c>
    </row>
    <row r="26">
      <c r="A26" s="29" t="s">
        <v>119</v>
      </c>
      <c r="B26" s="29" t="s">
        <v>120</v>
      </c>
      <c r="C26" s="30">
        <v>8.83</v>
      </c>
      <c r="D26" s="29">
        <v>100.0</v>
      </c>
      <c r="E26" s="29">
        <v>24.0</v>
      </c>
      <c r="F26" s="31">
        <f t="shared" si="1"/>
        <v>1</v>
      </c>
      <c r="G26" s="51" t="s">
        <v>121</v>
      </c>
      <c r="H26" s="40" t="s">
        <v>79</v>
      </c>
      <c r="I26" s="32" t="s">
        <v>122</v>
      </c>
      <c r="J26" s="33"/>
      <c r="K26" s="33"/>
      <c r="L26" s="33"/>
      <c r="M26" s="34">
        <f t="shared" si="2"/>
        <v>8.83</v>
      </c>
      <c r="N26" s="35">
        <f t="shared" si="3"/>
        <v>6628.1</v>
      </c>
      <c r="O26" s="36"/>
      <c r="P26" s="17"/>
      <c r="Q26" s="18"/>
      <c r="R26" s="17"/>
      <c r="S26" s="17"/>
      <c r="T26" s="17"/>
      <c r="U26" s="17"/>
      <c r="V26" s="37">
        <f t="shared" si="5"/>
        <v>3291.84</v>
      </c>
    </row>
    <row r="27">
      <c r="A27" s="52" t="s">
        <v>123</v>
      </c>
      <c r="B27" s="52" t="s">
        <v>124</v>
      </c>
      <c r="C27" s="53">
        <v>6.61</v>
      </c>
      <c r="D27" s="29">
        <v>1.0</v>
      </c>
      <c r="E27" s="29">
        <v>8.0</v>
      </c>
      <c r="F27" s="31">
        <f t="shared" si="1"/>
        <v>8</v>
      </c>
      <c r="G27" s="54" t="s">
        <v>125</v>
      </c>
      <c r="H27" s="55" t="s">
        <v>79</v>
      </c>
      <c r="I27" s="56" t="s">
        <v>126</v>
      </c>
      <c r="J27" s="33"/>
      <c r="K27" s="33"/>
      <c r="L27" s="33"/>
      <c r="M27" s="34">
        <f t="shared" si="2"/>
        <v>52.88</v>
      </c>
      <c r="N27" s="35">
        <f t="shared" si="3"/>
        <v>6680.98</v>
      </c>
      <c r="O27" s="36"/>
      <c r="P27" s="17"/>
      <c r="Q27" s="18"/>
      <c r="R27" s="26"/>
      <c r="S27" s="17"/>
      <c r="T27" s="17"/>
      <c r="U27" s="17"/>
      <c r="V27" s="37">
        <f t="shared" si="5"/>
        <v>3344.72</v>
      </c>
    </row>
    <row r="28">
      <c r="A28" s="52" t="s">
        <v>127</v>
      </c>
      <c r="B28" s="52" t="s">
        <v>128</v>
      </c>
      <c r="C28" s="57">
        <v>13.1</v>
      </c>
      <c r="D28" s="52">
        <v>100.0</v>
      </c>
      <c r="E28" s="52">
        <v>8.0</v>
      </c>
      <c r="F28" s="31">
        <f t="shared" si="1"/>
        <v>1</v>
      </c>
      <c r="G28" s="49" t="s">
        <v>129</v>
      </c>
      <c r="H28" s="55" t="s">
        <v>79</v>
      </c>
      <c r="I28" s="58" t="s">
        <v>130</v>
      </c>
      <c r="J28" s="59"/>
      <c r="K28" s="59"/>
      <c r="L28" s="59"/>
      <c r="M28" s="34">
        <f t="shared" si="2"/>
        <v>13.1</v>
      </c>
      <c r="N28" s="35">
        <f t="shared" si="3"/>
        <v>6694.08</v>
      </c>
      <c r="O28" s="36"/>
      <c r="Q28" s="60"/>
      <c r="S28" s="61"/>
      <c r="V28" s="37">
        <f t="shared" si="5"/>
        <v>3357.82</v>
      </c>
    </row>
    <row r="29">
      <c r="A29" s="52" t="s">
        <v>131</v>
      </c>
      <c r="B29" s="52" t="s">
        <v>132</v>
      </c>
      <c r="C29" s="57">
        <v>7.36</v>
      </c>
      <c r="D29" s="52">
        <v>1.0</v>
      </c>
      <c r="E29" s="52">
        <v>4.0</v>
      </c>
      <c r="F29" s="31">
        <f t="shared" si="1"/>
        <v>4</v>
      </c>
      <c r="G29" s="49" t="s">
        <v>125</v>
      </c>
      <c r="H29" s="55" t="s">
        <v>79</v>
      </c>
      <c r="I29" s="58" t="s">
        <v>126</v>
      </c>
      <c r="J29" s="59"/>
      <c r="K29" s="59"/>
      <c r="L29" s="59"/>
      <c r="M29" s="34">
        <f t="shared" si="2"/>
        <v>29.44</v>
      </c>
      <c r="N29" s="35">
        <f t="shared" si="3"/>
        <v>6723.52</v>
      </c>
      <c r="O29" s="36"/>
      <c r="Q29" s="62"/>
      <c r="V29" s="37">
        <f t="shared" si="5"/>
        <v>3387.26</v>
      </c>
    </row>
    <row r="30">
      <c r="A30" s="63" t="s">
        <v>133</v>
      </c>
      <c r="B30" s="64" t="s">
        <v>120</v>
      </c>
      <c r="C30" s="65">
        <v>14.3</v>
      </c>
      <c r="D30" s="63">
        <v>50.0</v>
      </c>
      <c r="E30" s="63">
        <v>12.0</v>
      </c>
      <c r="F30" s="66">
        <f t="shared" si="1"/>
        <v>1</v>
      </c>
      <c r="G30" s="67" t="s">
        <v>134</v>
      </c>
      <c r="H30" s="68" t="s">
        <v>79</v>
      </c>
      <c r="I30" s="69" t="s">
        <v>135</v>
      </c>
      <c r="J30" s="70"/>
      <c r="K30" s="70"/>
      <c r="L30" s="70"/>
      <c r="M30" s="71">
        <f t="shared" si="2"/>
        <v>14.3</v>
      </c>
      <c r="N30" s="72">
        <f t="shared" si="3"/>
        <v>6737.82</v>
      </c>
      <c r="O30" s="73"/>
      <c r="Q30" s="62"/>
    </row>
    <row r="31">
      <c r="A31" s="63" t="s">
        <v>136</v>
      </c>
      <c r="B31" s="74" t="s">
        <v>137</v>
      </c>
      <c r="C31" s="65">
        <v>3.8</v>
      </c>
      <c r="D31" s="63">
        <v>1.0</v>
      </c>
      <c r="E31" s="63">
        <v>4.0</v>
      </c>
      <c r="F31" s="66">
        <f>CEILING(E31/$D$27,1)</f>
        <v>4</v>
      </c>
      <c r="G31" s="67" t="s">
        <v>138</v>
      </c>
      <c r="H31" s="68" t="s">
        <v>79</v>
      </c>
      <c r="I31" s="75" t="s">
        <v>139</v>
      </c>
      <c r="J31" s="76"/>
      <c r="K31" s="77"/>
      <c r="L31" s="70"/>
      <c r="M31" s="71">
        <f t="shared" si="2"/>
        <v>15.2</v>
      </c>
      <c r="N31" s="72">
        <f t="shared" si="3"/>
        <v>6753.02</v>
      </c>
      <c r="O31" s="73"/>
      <c r="P31" s="78"/>
      <c r="Q31" s="62"/>
    </row>
    <row r="32">
      <c r="A32" s="78"/>
      <c r="B32" s="79"/>
      <c r="C32" s="80"/>
      <c r="D32" s="78"/>
      <c r="E32" s="78"/>
      <c r="G32" s="81"/>
      <c r="H32" s="82"/>
      <c r="I32" s="83"/>
      <c r="N32" s="84"/>
      <c r="Q32" s="62"/>
      <c r="Z32" s="85"/>
    </row>
    <row r="33">
      <c r="A33" s="78"/>
      <c r="B33" s="78"/>
      <c r="C33" s="86"/>
      <c r="D33" s="78"/>
      <c r="E33" s="78"/>
      <c r="F33" s="78"/>
      <c r="G33" s="87"/>
      <c r="H33" s="82"/>
      <c r="I33" s="88"/>
      <c r="N33" s="84"/>
      <c r="Q33" s="62"/>
      <c r="Z33" s="89"/>
    </row>
    <row r="34">
      <c r="A34" s="78"/>
      <c r="B34" s="78"/>
      <c r="C34" s="80"/>
      <c r="D34" s="78"/>
      <c r="E34" s="78"/>
      <c r="G34" s="81"/>
      <c r="H34" s="82"/>
      <c r="I34" s="83"/>
      <c r="N34" s="84"/>
      <c r="Q34" s="62"/>
    </row>
    <row r="35">
      <c r="A35" s="78"/>
      <c r="B35" s="78"/>
      <c r="C35" s="80"/>
      <c r="D35" s="78"/>
      <c r="E35" s="78"/>
      <c r="G35" s="81"/>
      <c r="H35" s="82"/>
      <c r="I35" s="83"/>
      <c r="N35" s="84"/>
      <c r="Q35" s="62"/>
    </row>
    <row r="36">
      <c r="A36" s="78"/>
      <c r="B36" s="78"/>
      <c r="C36" s="80"/>
      <c r="D36" s="78"/>
      <c r="E36" s="78"/>
      <c r="G36" s="81"/>
      <c r="H36" s="82"/>
      <c r="I36" s="83"/>
      <c r="N36" s="84"/>
      <c r="Q36" s="62"/>
      <c r="Z36" s="86"/>
    </row>
    <row r="37">
      <c r="A37" s="78"/>
      <c r="B37" s="78"/>
      <c r="C37" s="80"/>
      <c r="D37" s="78"/>
      <c r="E37" s="78"/>
      <c r="G37" s="81"/>
      <c r="H37" s="82"/>
      <c r="I37" s="83"/>
      <c r="N37" s="84"/>
      <c r="Q37" s="62"/>
    </row>
    <row r="38">
      <c r="A38" s="78"/>
      <c r="B38" s="78"/>
      <c r="C38" s="80"/>
      <c r="D38" s="78"/>
      <c r="E38" s="78"/>
      <c r="G38" s="81"/>
      <c r="H38" s="82"/>
      <c r="I38" s="83"/>
      <c r="N38" s="84"/>
      <c r="Q38" s="62"/>
    </row>
    <row r="39">
      <c r="A39" s="78"/>
      <c r="B39" s="78"/>
      <c r="C39" s="80"/>
      <c r="D39" s="78"/>
      <c r="E39" s="78"/>
      <c r="F39" s="78"/>
      <c r="H39" s="78"/>
      <c r="I39" s="88"/>
      <c r="N39" s="84"/>
      <c r="Q39" s="62"/>
    </row>
    <row r="40">
      <c r="A40" s="78"/>
      <c r="B40" s="78"/>
      <c r="C40" s="80"/>
      <c r="D40" s="78"/>
      <c r="E40" s="78"/>
      <c r="F40" s="78"/>
      <c r="H40" s="78"/>
      <c r="I40" s="88"/>
      <c r="N40" s="84"/>
      <c r="Q40" s="62"/>
    </row>
    <row r="41">
      <c r="A41" s="78"/>
      <c r="B41" s="78"/>
      <c r="C41" s="80"/>
      <c r="D41" s="78"/>
      <c r="E41" s="78"/>
      <c r="F41" s="78"/>
      <c r="H41" s="78"/>
      <c r="I41" s="88"/>
      <c r="N41" s="84"/>
      <c r="Q41" s="62"/>
    </row>
    <row r="42">
      <c r="I42" s="90"/>
      <c r="Q42" s="62"/>
    </row>
    <row r="43">
      <c r="G43" s="91"/>
      <c r="I43" s="90"/>
      <c r="L43" s="92" t="s">
        <v>140</v>
      </c>
      <c r="M43" s="93">
        <f>SUM(M2:M41)</f>
        <v>6753.02</v>
      </c>
      <c r="Q43" s="62"/>
    </row>
    <row r="44">
      <c r="G44" s="91"/>
      <c r="I44" s="90"/>
      <c r="Q44" s="62"/>
    </row>
    <row r="45">
      <c r="G45" s="91"/>
      <c r="I45" s="90"/>
      <c r="Q45" s="62"/>
    </row>
    <row r="46">
      <c r="G46" s="91"/>
      <c r="I46" s="90"/>
      <c r="Q46" s="62"/>
    </row>
    <row r="47">
      <c r="G47" s="91"/>
      <c r="I47" s="90"/>
      <c r="Q47" s="62"/>
    </row>
    <row r="48">
      <c r="G48" s="91"/>
      <c r="I48" s="90"/>
      <c r="Q48" s="62"/>
    </row>
    <row r="49">
      <c r="G49" s="91"/>
      <c r="I49" s="90"/>
      <c r="Q49" s="62"/>
    </row>
    <row r="50">
      <c r="G50" s="91"/>
      <c r="I50" s="90"/>
      <c r="Q50" s="62"/>
    </row>
    <row r="51">
      <c r="G51" s="91"/>
      <c r="I51" s="90"/>
      <c r="Q51" s="62"/>
    </row>
    <row r="52">
      <c r="G52" s="91"/>
      <c r="I52" s="90"/>
      <c r="Q52" s="62"/>
    </row>
    <row r="53">
      <c r="G53" s="91"/>
      <c r="I53" s="90"/>
      <c r="Q53" s="62"/>
    </row>
    <row r="54">
      <c r="G54" s="91"/>
      <c r="I54" s="90"/>
      <c r="Q54" s="62"/>
    </row>
    <row r="55">
      <c r="G55" s="91"/>
      <c r="I55" s="90"/>
      <c r="Q55" s="62"/>
    </row>
    <row r="56">
      <c r="G56" s="91"/>
      <c r="I56" s="90"/>
      <c r="Q56" s="62"/>
    </row>
    <row r="57">
      <c r="G57" s="91"/>
      <c r="I57" s="90"/>
      <c r="Q57" s="62"/>
    </row>
    <row r="58">
      <c r="C58" s="80"/>
      <c r="I58" s="88"/>
      <c r="N58" s="94"/>
      <c r="Q58" s="62"/>
    </row>
    <row r="59">
      <c r="C59" s="86"/>
      <c r="I59" s="83"/>
      <c r="N59" s="94"/>
      <c r="Q59" s="62"/>
    </row>
    <row r="60">
      <c r="G60" s="91"/>
      <c r="I60" s="90"/>
      <c r="Q60" s="62"/>
    </row>
    <row r="61">
      <c r="G61" s="91"/>
      <c r="I61" s="90"/>
      <c r="Q61" s="62"/>
    </row>
    <row r="62">
      <c r="G62" s="91"/>
      <c r="I62" s="90"/>
      <c r="Q62" s="62"/>
    </row>
    <row r="63">
      <c r="G63" s="91"/>
      <c r="I63" s="90"/>
      <c r="Q63" s="62"/>
    </row>
    <row r="64">
      <c r="G64" s="91"/>
      <c r="I64" s="90"/>
      <c r="Q64" s="62"/>
    </row>
    <row r="65">
      <c r="G65" s="91"/>
      <c r="I65" s="90"/>
      <c r="Q65" s="62"/>
    </row>
    <row r="66">
      <c r="G66" s="91"/>
      <c r="I66" s="90"/>
      <c r="Q66" s="62"/>
    </row>
    <row r="67">
      <c r="I67" s="90"/>
      <c r="Q67" s="62"/>
    </row>
    <row r="68">
      <c r="I68" s="90"/>
      <c r="Q68" s="62"/>
    </row>
    <row r="69">
      <c r="I69" s="90"/>
      <c r="Q69" s="62"/>
    </row>
    <row r="70">
      <c r="I70" s="90"/>
      <c r="Q70" s="62"/>
    </row>
    <row r="71">
      <c r="I71" s="90"/>
      <c r="Q71" s="62"/>
    </row>
    <row r="72">
      <c r="I72" s="90"/>
      <c r="Q72" s="62"/>
    </row>
    <row r="73">
      <c r="I73" s="90"/>
      <c r="Q73" s="62"/>
    </row>
    <row r="74">
      <c r="I74" s="90"/>
      <c r="Q74" s="62"/>
    </row>
    <row r="75">
      <c r="I75" s="90"/>
      <c r="Q75" s="62"/>
    </row>
    <row r="76">
      <c r="I76" s="90"/>
      <c r="Q76" s="62"/>
    </row>
    <row r="77">
      <c r="I77" s="90"/>
      <c r="Q77" s="62"/>
    </row>
    <row r="78">
      <c r="I78" s="90"/>
      <c r="Q78" s="62"/>
    </row>
    <row r="79">
      <c r="I79" s="90"/>
      <c r="Q79" s="62"/>
    </row>
    <row r="80">
      <c r="I80" s="90"/>
      <c r="Q80" s="62"/>
    </row>
    <row r="81">
      <c r="I81" s="90"/>
      <c r="Q81" s="62"/>
    </row>
    <row r="82">
      <c r="I82" s="90"/>
      <c r="Q82" s="62"/>
    </row>
    <row r="83">
      <c r="I83" s="90"/>
      <c r="Q83" s="62"/>
    </row>
    <row r="84">
      <c r="I84" s="90"/>
      <c r="Q84" s="62"/>
    </row>
    <row r="85">
      <c r="I85" s="90"/>
      <c r="Q85" s="62"/>
    </row>
    <row r="86">
      <c r="I86" s="90"/>
      <c r="Q86" s="62"/>
    </row>
    <row r="87">
      <c r="I87" s="90"/>
      <c r="Q87" s="62"/>
    </row>
    <row r="88">
      <c r="I88" s="90"/>
      <c r="Q88" s="62"/>
    </row>
    <row r="89">
      <c r="I89" s="90"/>
      <c r="Q89" s="62"/>
    </row>
    <row r="90">
      <c r="I90" s="90"/>
      <c r="Q90" s="62"/>
    </row>
    <row r="91">
      <c r="I91" s="90"/>
      <c r="Q91" s="62"/>
    </row>
    <row r="92">
      <c r="I92" s="90"/>
      <c r="Q92" s="62"/>
    </row>
    <row r="93">
      <c r="I93" s="90"/>
      <c r="Q93" s="62"/>
    </row>
    <row r="94">
      <c r="I94" s="90"/>
      <c r="Q94" s="62"/>
    </row>
    <row r="95">
      <c r="I95" s="90"/>
      <c r="Q95" s="62"/>
    </row>
    <row r="96">
      <c r="I96" s="90"/>
      <c r="Q96" s="62"/>
    </row>
    <row r="97">
      <c r="I97" s="90"/>
      <c r="Q97" s="62"/>
    </row>
    <row r="98">
      <c r="I98" s="90"/>
      <c r="Q98" s="62"/>
    </row>
    <row r="99">
      <c r="I99" s="90"/>
      <c r="Q99" s="62"/>
    </row>
    <row r="100">
      <c r="I100" s="90"/>
      <c r="Q100" s="62"/>
    </row>
    <row r="101">
      <c r="I101" s="90"/>
      <c r="Q101" s="62"/>
    </row>
    <row r="102">
      <c r="I102" s="90"/>
      <c r="Q102" s="62"/>
    </row>
    <row r="103">
      <c r="I103" s="90"/>
      <c r="Q103" s="62"/>
    </row>
    <row r="104">
      <c r="I104" s="90"/>
      <c r="Q104" s="62"/>
    </row>
    <row r="105">
      <c r="I105" s="90"/>
      <c r="Q105" s="62"/>
    </row>
    <row r="106">
      <c r="I106" s="90"/>
      <c r="Q106" s="62"/>
    </row>
    <row r="107">
      <c r="I107" s="90"/>
      <c r="Q107" s="62"/>
    </row>
    <row r="108">
      <c r="I108" s="90"/>
      <c r="Q108" s="62"/>
    </row>
    <row r="109">
      <c r="I109" s="90"/>
      <c r="Q109" s="62"/>
    </row>
    <row r="110">
      <c r="I110" s="90"/>
      <c r="Q110" s="62"/>
    </row>
    <row r="111">
      <c r="I111" s="90"/>
      <c r="Q111" s="62"/>
    </row>
    <row r="112">
      <c r="I112" s="90"/>
      <c r="Q112" s="62"/>
    </row>
    <row r="113">
      <c r="I113" s="90"/>
      <c r="Q113" s="62"/>
    </row>
    <row r="114">
      <c r="I114" s="90"/>
      <c r="Q114" s="62"/>
    </row>
    <row r="115">
      <c r="I115" s="90"/>
      <c r="Q115" s="62"/>
    </row>
    <row r="116">
      <c r="I116" s="90"/>
      <c r="Q116" s="62"/>
    </row>
    <row r="117">
      <c r="I117" s="90"/>
      <c r="Q117" s="62"/>
    </row>
    <row r="118">
      <c r="I118" s="90"/>
      <c r="Q118" s="62"/>
    </row>
    <row r="119">
      <c r="I119" s="90"/>
      <c r="Q119" s="62"/>
    </row>
    <row r="120">
      <c r="I120" s="90"/>
      <c r="Q120" s="62"/>
    </row>
    <row r="121">
      <c r="I121" s="90"/>
      <c r="Q121" s="62"/>
    </row>
    <row r="122">
      <c r="I122" s="90"/>
      <c r="Q122" s="62"/>
    </row>
    <row r="123">
      <c r="I123" s="90"/>
      <c r="Q123" s="62"/>
    </row>
  </sheetData>
  <customSheetViews>
    <customSheetView guid="{D7E9DF7F-435C-42AE-99B1-3E185F308F5A}" filter="1" showAutoFilter="1">
      <autoFilter ref="$H$1:$H$117"/>
    </customSheetView>
    <customSheetView guid="{514A3C1B-6CCE-4092-BFD9-4C5D5EA6EC62}" filter="1" showAutoFilter="1">
      <autoFilter ref="$O$1:$O$117"/>
    </customSheetView>
  </customSheetView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25"/>
    <col customWidth="1" min="2" max="2" width="36.38"/>
    <col customWidth="1" min="3" max="3" width="7.13"/>
    <col customWidth="1" min="4" max="5" width="8.75"/>
    <col customWidth="1" min="6" max="6" width="14.25"/>
    <col customWidth="1" min="8" max="8" width="20.13"/>
    <col customWidth="1" min="9" max="9" width="21.38"/>
    <col customWidth="1" min="10" max="10" width="9.5"/>
    <col customWidth="1" min="11" max="11" width="5.25"/>
    <col customWidth="1" min="12" max="12" width="7.38"/>
    <col customWidth="1" min="13" max="13" width="10.88"/>
    <col customWidth="1" min="14" max="14" width="18.5"/>
    <col customWidth="1" min="16" max="16" width="6.5"/>
    <col customWidth="1" min="17" max="17" width="7.38"/>
    <col customWidth="1" min="18" max="18" width="10.13"/>
    <col customWidth="1" min="19" max="19" width="12.13"/>
    <col customWidth="1" min="20" max="20" width="10.0"/>
    <col customWidth="1" min="21" max="21" width="11.63"/>
    <col customWidth="1" min="22" max="22" width="17.38"/>
    <col customWidth="1" min="23" max="23" width="59.25"/>
    <col customWidth="1" min="24" max="24" width="17.38"/>
  </cols>
  <sheetData>
    <row r="1" ht="50.25" customHeight="1">
      <c r="A1" s="1" t="s">
        <v>141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1" t="s">
        <v>6</v>
      </c>
      <c r="I1" s="4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5" t="s">
        <v>15</v>
      </c>
      <c r="R1" s="6" t="s">
        <v>16</v>
      </c>
      <c r="S1" s="1" t="s">
        <v>17</v>
      </c>
      <c r="T1" s="1" t="s">
        <v>18</v>
      </c>
      <c r="U1" s="1" t="s">
        <v>19</v>
      </c>
      <c r="V1" s="7" t="s">
        <v>20</v>
      </c>
      <c r="W1" s="7" t="s">
        <v>21</v>
      </c>
      <c r="X1" s="8"/>
      <c r="Y1" s="8"/>
      <c r="Z1" s="8"/>
      <c r="AA1" s="8"/>
      <c r="AB1" s="8"/>
    </row>
    <row r="2">
      <c r="A2" s="95" t="s">
        <v>52</v>
      </c>
      <c r="B2" s="64"/>
      <c r="C2" s="96">
        <v>226.91</v>
      </c>
      <c r="D2" s="64">
        <v>1.0</v>
      </c>
      <c r="E2" s="64">
        <v>1.0</v>
      </c>
      <c r="F2" s="66">
        <f t="shared" ref="F2:F23" si="1">CEILING(E2/D2,1)</f>
        <v>1</v>
      </c>
      <c r="G2" s="64" t="s">
        <v>54</v>
      </c>
      <c r="H2" s="64" t="s">
        <v>25</v>
      </c>
      <c r="I2" s="97" t="s">
        <v>55</v>
      </c>
      <c r="J2" s="98"/>
      <c r="K2" s="98"/>
      <c r="L2" s="98"/>
      <c r="M2" s="71">
        <f t="shared" ref="M2:M24" si="2">F2*C2</f>
        <v>226.91</v>
      </c>
      <c r="N2" s="99">
        <f>M2</f>
        <v>226.91</v>
      </c>
      <c r="O2" s="73" t="b">
        <v>0</v>
      </c>
      <c r="P2" s="17"/>
      <c r="Q2" s="100" t="s">
        <v>142</v>
      </c>
      <c r="R2" s="41" t="s">
        <v>143</v>
      </c>
      <c r="S2" s="101">
        <v>45485.0</v>
      </c>
      <c r="T2" s="17"/>
      <c r="U2" s="17"/>
      <c r="V2" s="37">
        <f>M2</f>
        <v>226.91</v>
      </c>
    </row>
    <row r="3">
      <c r="A3" s="64" t="s">
        <v>56</v>
      </c>
      <c r="B3" s="64" t="s">
        <v>57</v>
      </c>
      <c r="C3" s="96">
        <v>226.91</v>
      </c>
      <c r="D3" s="64">
        <v>1.0</v>
      </c>
      <c r="E3" s="64">
        <v>2.0</v>
      </c>
      <c r="F3" s="66">
        <f t="shared" si="1"/>
        <v>2</v>
      </c>
      <c r="G3" s="64" t="s">
        <v>58</v>
      </c>
      <c r="H3" s="64" t="s">
        <v>25</v>
      </c>
      <c r="I3" s="97" t="s">
        <v>59</v>
      </c>
      <c r="J3" s="98"/>
      <c r="K3" s="98"/>
      <c r="L3" s="98"/>
      <c r="M3" s="71">
        <f t="shared" si="2"/>
        <v>453.82</v>
      </c>
      <c r="N3" s="99">
        <f t="shared" ref="N3:N24" si="3">N2+M3</f>
        <v>680.73</v>
      </c>
      <c r="O3" s="73" t="b">
        <v>0</v>
      </c>
      <c r="P3" s="17"/>
      <c r="Q3" s="100" t="s">
        <v>142</v>
      </c>
      <c r="R3" s="41" t="s">
        <v>143</v>
      </c>
      <c r="S3" s="101">
        <v>45485.0</v>
      </c>
      <c r="T3" s="17"/>
      <c r="U3" s="17"/>
      <c r="V3" s="37">
        <f t="shared" ref="V3:V22" si="4">V2+M3</f>
        <v>680.73</v>
      </c>
    </row>
    <row r="4">
      <c r="A4" s="102" t="s">
        <v>60</v>
      </c>
      <c r="B4" s="64" t="s">
        <v>61</v>
      </c>
      <c r="C4" s="96">
        <v>226.91</v>
      </c>
      <c r="D4" s="64">
        <v>1.0</v>
      </c>
      <c r="E4" s="64">
        <v>5.0</v>
      </c>
      <c r="F4" s="66">
        <f t="shared" si="1"/>
        <v>5</v>
      </c>
      <c r="G4" s="64" t="s">
        <v>49</v>
      </c>
      <c r="H4" s="64" t="s">
        <v>25</v>
      </c>
      <c r="I4" s="103" t="s">
        <v>50</v>
      </c>
      <c r="J4" s="98"/>
      <c r="K4" s="98"/>
      <c r="L4" s="98"/>
      <c r="M4" s="71">
        <f t="shared" si="2"/>
        <v>1134.55</v>
      </c>
      <c r="N4" s="99">
        <f t="shared" si="3"/>
        <v>1815.28</v>
      </c>
      <c r="O4" s="73" t="b">
        <v>0</v>
      </c>
      <c r="P4" s="17"/>
      <c r="Q4" s="100" t="s">
        <v>142</v>
      </c>
      <c r="R4" s="41" t="s">
        <v>143</v>
      </c>
      <c r="S4" s="101">
        <v>45485.0</v>
      </c>
      <c r="T4" s="17"/>
      <c r="U4" s="17"/>
      <c r="V4" s="37">
        <f t="shared" si="4"/>
        <v>1815.28</v>
      </c>
    </row>
    <row r="5">
      <c r="A5" s="64" t="s">
        <v>62</v>
      </c>
      <c r="B5" s="64" t="s">
        <v>63</v>
      </c>
      <c r="C5" s="96">
        <v>26.91</v>
      </c>
      <c r="D5" s="64">
        <v>1.0</v>
      </c>
      <c r="E5" s="64">
        <v>3.0</v>
      </c>
      <c r="F5" s="66">
        <f t="shared" si="1"/>
        <v>3</v>
      </c>
      <c r="G5" s="64" t="s">
        <v>64</v>
      </c>
      <c r="H5" s="64" t="s">
        <v>25</v>
      </c>
      <c r="I5" s="103" t="s">
        <v>65</v>
      </c>
      <c r="J5" s="98"/>
      <c r="K5" s="98"/>
      <c r="L5" s="98"/>
      <c r="M5" s="71">
        <f t="shared" si="2"/>
        <v>80.73</v>
      </c>
      <c r="N5" s="99">
        <f t="shared" si="3"/>
        <v>1896.01</v>
      </c>
      <c r="O5" s="73" t="b">
        <v>0</v>
      </c>
      <c r="P5" s="17"/>
      <c r="Q5" s="100" t="s">
        <v>142</v>
      </c>
      <c r="R5" s="41" t="s">
        <v>143</v>
      </c>
      <c r="S5" s="101">
        <v>45485.0</v>
      </c>
      <c r="T5" s="17"/>
      <c r="U5" s="17"/>
      <c r="V5" s="37">
        <f t="shared" si="4"/>
        <v>1896.01</v>
      </c>
    </row>
    <row r="6">
      <c r="A6" s="64" t="s">
        <v>66</v>
      </c>
      <c r="B6" s="64" t="s">
        <v>67</v>
      </c>
      <c r="C6" s="96">
        <v>507.24</v>
      </c>
      <c r="D6" s="64">
        <v>1.0</v>
      </c>
      <c r="E6" s="64">
        <v>2.0</v>
      </c>
      <c r="F6" s="66">
        <f t="shared" si="1"/>
        <v>2</v>
      </c>
      <c r="G6" s="64" t="s">
        <v>68</v>
      </c>
      <c r="H6" s="64" t="s">
        <v>69</v>
      </c>
      <c r="I6" s="103" t="s">
        <v>144</v>
      </c>
      <c r="J6" s="98"/>
      <c r="K6" s="98"/>
      <c r="L6" s="98"/>
      <c r="M6" s="71">
        <f t="shared" si="2"/>
        <v>1014.48</v>
      </c>
      <c r="N6" s="99">
        <f t="shared" si="3"/>
        <v>2910.49</v>
      </c>
      <c r="O6" s="73" t="b">
        <v>0</v>
      </c>
      <c r="P6" s="17"/>
      <c r="Q6" s="100" t="s">
        <v>142</v>
      </c>
      <c r="R6" s="41" t="s">
        <v>145</v>
      </c>
      <c r="S6" s="100" t="s">
        <v>146</v>
      </c>
      <c r="T6" s="17"/>
      <c r="U6" s="17"/>
      <c r="V6" s="37">
        <f t="shared" si="4"/>
        <v>2910.49</v>
      </c>
    </row>
    <row r="7">
      <c r="A7" s="64" t="s">
        <v>71</v>
      </c>
      <c r="B7" s="64" t="s">
        <v>72</v>
      </c>
      <c r="C7" s="96">
        <v>4.11</v>
      </c>
      <c r="D7" s="64">
        <v>1.0</v>
      </c>
      <c r="E7" s="64">
        <v>8.0</v>
      </c>
      <c r="F7" s="66">
        <f t="shared" si="1"/>
        <v>8</v>
      </c>
      <c r="G7" s="64" t="s">
        <v>73</v>
      </c>
      <c r="H7" s="64" t="s">
        <v>74</v>
      </c>
      <c r="I7" s="103" t="s">
        <v>75</v>
      </c>
      <c r="J7" s="98"/>
      <c r="K7" s="98"/>
      <c r="L7" s="98"/>
      <c r="M7" s="71">
        <f t="shared" si="2"/>
        <v>32.88</v>
      </c>
      <c r="N7" s="99">
        <f t="shared" si="3"/>
        <v>2943.37</v>
      </c>
      <c r="O7" s="73" t="b">
        <v>0</v>
      </c>
      <c r="P7" s="17"/>
      <c r="Q7" s="100" t="s">
        <v>142</v>
      </c>
      <c r="R7" s="41" t="s">
        <v>147</v>
      </c>
      <c r="S7" s="101">
        <v>45485.0</v>
      </c>
      <c r="T7" s="17"/>
      <c r="U7" s="17"/>
      <c r="V7" s="37">
        <f t="shared" si="4"/>
        <v>2943.37</v>
      </c>
    </row>
    <row r="8">
      <c r="A8" s="64" t="s">
        <v>76</v>
      </c>
      <c r="B8" s="64" t="s">
        <v>77</v>
      </c>
      <c r="C8" s="96">
        <v>12.86</v>
      </c>
      <c r="D8" s="64">
        <v>5.0</v>
      </c>
      <c r="E8" s="64">
        <v>1.0</v>
      </c>
      <c r="F8" s="66">
        <f t="shared" si="1"/>
        <v>1</v>
      </c>
      <c r="G8" s="104" t="s">
        <v>78</v>
      </c>
      <c r="H8" s="105" t="s">
        <v>79</v>
      </c>
      <c r="I8" s="103" t="s">
        <v>80</v>
      </c>
      <c r="J8" s="98"/>
      <c r="K8" s="98"/>
      <c r="L8" s="98"/>
      <c r="M8" s="71">
        <f t="shared" si="2"/>
        <v>12.86</v>
      </c>
      <c r="N8" s="99">
        <f t="shared" si="3"/>
        <v>2956.23</v>
      </c>
      <c r="O8" s="73" t="b">
        <v>0</v>
      </c>
      <c r="P8" s="17"/>
      <c r="Q8" s="100" t="s">
        <v>142</v>
      </c>
      <c r="R8" s="41" t="s">
        <v>148</v>
      </c>
      <c r="S8" s="101">
        <v>45485.0</v>
      </c>
      <c r="T8" s="17"/>
      <c r="U8" s="17"/>
      <c r="V8" s="37">
        <f t="shared" si="4"/>
        <v>2956.23</v>
      </c>
    </row>
    <row r="9">
      <c r="A9" s="64" t="s">
        <v>81</v>
      </c>
      <c r="B9" s="64" t="s">
        <v>82</v>
      </c>
      <c r="C9" s="96">
        <v>64.22</v>
      </c>
      <c r="D9" s="64">
        <v>1.0</v>
      </c>
      <c r="E9" s="64">
        <v>2.0</v>
      </c>
      <c r="F9" s="66">
        <f t="shared" si="1"/>
        <v>2</v>
      </c>
      <c r="G9" s="104" t="s">
        <v>83</v>
      </c>
      <c r="H9" s="105" t="s">
        <v>79</v>
      </c>
      <c r="I9" s="103" t="s">
        <v>84</v>
      </c>
      <c r="J9" s="98"/>
      <c r="K9" s="98"/>
      <c r="L9" s="98"/>
      <c r="M9" s="71">
        <f t="shared" si="2"/>
        <v>128.44</v>
      </c>
      <c r="N9" s="99">
        <f t="shared" si="3"/>
        <v>3084.67</v>
      </c>
      <c r="O9" s="73" t="b">
        <v>0</v>
      </c>
      <c r="P9" s="17"/>
      <c r="Q9" s="100" t="s">
        <v>142</v>
      </c>
      <c r="R9" s="41" t="s">
        <v>148</v>
      </c>
      <c r="S9" s="101">
        <v>45485.0</v>
      </c>
      <c r="T9" s="17"/>
      <c r="U9" s="17"/>
      <c r="V9" s="37">
        <f t="shared" si="4"/>
        <v>3084.67</v>
      </c>
    </row>
    <row r="10">
      <c r="A10" s="106" t="s">
        <v>85</v>
      </c>
      <c r="B10" s="64" t="s">
        <v>86</v>
      </c>
      <c r="C10" s="96">
        <v>8.78</v>
      </c>
      <c r="D10" s="64">
        <v>12.0</v>
      </c>
      <c r="E10" s="64">
        <v>35.0</v>
      </c>
      <c r="F10" s="66">
        <f t="shared" si="1"/>
        <v>3</v>
      </c>
      <c r="G10" s="104" t="s">
        <v>87</v>
      </c>
      <c r="H10" s="105" t="s">
        <v>79</v>
      </c>
      <c r="I10" s="107" t="s">
        <v>88</v>
      </c>
      <c r="J10" s="98"/>
      <c r="K10" s="98"/>
      <c r="L10" s="98"/>
      <c r="M10" s="71">
        <f t="shared" si="2"/>
        <v>26.34</v>
      </c>
      <c r="N10" s="99">
        <f t="shared" si="3"/>
        <v>3111.01</v>
      </c>
      <c r="O10" s="73" t="b">
        <v>0</v>
      </c>
      <c r="P10" s="17"/>
      <c r="Q10" s="100" t="s">
        <v>142</v>
      </c>
      <c r="R10" s="41" t="s">
        <v>148</v>
      </c>
      <c r="S10" s="101">
        <v>45485.0</v>
      </c>
      <c r="T10" s="17"/>
      <c r="U10" s="17"/>
      <c r="V10" s="37">
        <f t="shared" si="4"/>
        <v>3111.01</v>
      </c>
    </row>
    <row r="11">
      <c r="A11" s="64" t="s">
        <v>89</v>
      </c>
      <c r="B11" s="64" t="s">
        <v>90</v>
      </c>
      <c r="C11" s="96">
        <v>19.67</v>
      </c>
      <c r="D11" s="64">
        <v>50.0</v>
      </c>
      <c r="E11" s="64">
        <v>8.0</v>
      </c>
      <c r="F11" s="66">
        <f t="shared" si="1"/>
        <v>1</v>
      </c>
      <c r="G11" s="104" t="s">
        <v>91</v>
      </c>
      <c r="H11" s="105" t="s">
        <v>79</v>
      </c>
      <c r="I11" s="107" t="s">
        <v>92</v>
      </c>
      <c r="J11" s="98"/>
      <c r="K11" s="98"/>
      <c r="L11" s="98"/>
      <c r="M11" s="71">
        <f t="shared" si="2"/>
        <v>19.67</v>
      </c>
      <c r="N11" s="99">
        <f t="shared" si="3"/>
        <v>3130.68</v>
      </c>
      <c r="O11" s="73" t="b">
        <v>0</v>
      </c>
      <c r="P11" s="17"/>
      <c r="Q11" s="100" t="s">
        <v>142</v>
      </c>
      <c r="R11" s="41" t="s">
        <v>148</v>
      </c>
      <c r="S11" s="101">
        <v>45485.0</v>
      </c>
      <c r="T11" s="17"/>
      <c r="U11" s="17"/>
      <c r="V11" s="37">
        <f t="shared" si="4"/>
        <v>3130.68</v>
      </c>
    </row>
    <row r="12">
      <c r="A12" s="105" t="s">
        <v>93</v>
      </c>
      <c r="B12" s="105" t="s">
        <v>94</v>
      </c>
      <c r="C12" s="96">
        <v>16.66</v>
      </c>
      <c r="D12" s="64">
        <v>100.0</v>
      </c>
      <c r="E12" s="64">
        <v>4.0</v>
      </c>
      <c r="F12" s="66">
        <f t="shared" si="1"/>
        <v>1</v>
      </c>
      <c r="G12" s="104" t="s">
        <v>95</v>
      </c>
      <c r="H12" s="105" t="s">
        <v>79</v>
      </c>
      <c r="I12" s="107" t="s">
        <v>96</v>
      </c>
      <c r="J12" s="98"/>
      <c r="K12" s="98"/>
      <c r="L12" s="98"/>
      <c r="M12" s="71">
        <f t="shared" si="2"/>
        <v>16.66</v>
      </c>
      <c r="N12" s="99">
        <f t="shared" si="3"/>
        <v>3147.34</v>
      </c>
      <c r="O12" s="73" t="b">
        <v>0</v>
      </c>
      <c r="P12" s="17"/>
      <c r="Q12" s="100" t="s">
        <v>142</v>
      </c>
      <c r="R12" s="41" t="s">
        <v>148</v>
      </c>
      <c r="S12" s="101">
        <v>45485.0</v>
      </c>
      <c r="T12" s="17"/>
      <c r="U12" s="17"/>
      <c r="V12" s="37">
        <f t="shared" si="4"/>
        <v>3147.34</v>
      </c>
    </row>
    <row r="13">
      <c r="A13" s="108" t="s">
        <v>97</v>
      </c>
      <c r="B13" s="105" t="s">
        <v>94</v>
      </c>
      <c r="C13" s="96">
        <v>3.52</v>
      </c>
      <c r="D13" s="64">
        <v>100.0</v>
      </c>
      <c r="E13" s="64">
        <v>4.0</v>
      </c>
      <c r="F13" s="66">
        <f t="shared" si="1"/>
        <v>1</v>
      </c>
      <c r="G13" s="104" t="s">
        <v>98</v>
      </c>
      <c r="H13" s="105" t="s">
        <v>79</v>
      </c>
      <c r="I13" s="107" t="s">
        <v>99</v>
      </c>
      <c r="J13" s="98"/>
      <c r="K13" s="98"/>
      <c r="L13" s="98"/>
      <c r="M13" s="71">
        <f t="shared" si="2"/>
        <v>3.52</v>
      </c>
      <c r="N13" s="99">
        <f t="shared" si="3"/>
        <v>3150.86</v>
      </c>
      <c r="O13" s="73" t="b">
        <v>0</v>
      </c>
      <c r="P13" s="17"/>
      <c r="Q13" s="100" t="s">
        <v>142</v>
      </c>
      <c r="R13" s="41" t="s">
        <v>148</v>
      </c>
      <c r="S13" s="101">
        <v>45485.0</v>
      </c>
      <c r="T13" s="17"/>
      <c r="U13" s="17"/>
      <c r="V13" s="37">
        <f t="shared" si="4"/>
        <v>3150.86</v>
      </c>
    </row>
    <row r="14">
      <c r="A14" s="106" t="s">
        <v>100</v>
      </c>
      <c r="B14" s="106" t="s">
        <v>101</v>
      </c>
      <c r="C14" s="96">
        <v>5.36</v>
      </c>
      <c r="D14" s="64">
        <v>100.0</v>
      </c>
      <c r="E14" s="64">
        <v>324.0</v>
      </c>
      <c r="F14" s="66">
        <f t="shared" si="1"/>
        <v>4</v>
      </c>
      <c r="G14" s="104" t="s">
        <v>102</v>
      </c>
      <c r="H14" s="105" t="s">
        <v>79</v>
      </c>
      <c r="I14" s="107" t="s">
        <v>103</v>
      </c>
      <c r="J14" s="98"/>
      <c r="K14" s="98"/>
      <c r="L14" s="98"/>
      <c r="M14" s="71">
        <f t="shared" si="2"/>
        <v>21.44</v>
      </c>
      <c r="N14" s="99">
        <f t="shared" si="3"/>
        <v>3172.3</v>
      </c>
      <c r="O14" s="73" t="b">
        <v>0</v>
      </c>
      <c r="P14" s="17"/>
      <c r="Q14" s="100" t="s">
        <v>142</v>
      </c>
      <c r="R14" s="41" t="s">
        <v>148</v>
      </c>
      <c r="S14" s="101">
        <v>45485.0</v>
      </c>
      <c r="T14" s="17"/>
      <c r="U14" s="17"/>
      <c r="V14" s="37">
        <f t="shared" si="4"/>
        <v>3172.3</v>
      </c>
    </row>
    <row r="15">
      <c r="A15" s="105" t="s">
        <v>104</v>
      </c>
      <c r="B15" s="105" t="s">
        <v>105</v>
      </c>
      <c r="C15" s="109">
        <v>6.26</v>
      </c>
      <c r="D15" s="64">
        <v>100.0</v>
      </c>
      <c r="E15" s="64">
        <v>8.0</v>
      </c>
      <c r="F15" s="66">
        <f t="shared" si="1"/>
        <v>1</v>
      </c>
      <c r="G15" s="110" t="s">
        <v>106</v>
      </c>
      <c r="H15" s="105" t="s">
        <v>79</v>
      </c>
      <c r="I15" s="111" t="s">
        <v>107</v>
      </c>
      <c r="J15" s="98"/>
      <c r="K15" s="98"/>
      <c r="L15" s="98"/>
      <c r="M15" s="71">
        <f t="shared" si="2"/>
        <v>6.26</v>
      </c>
      <c r="N15" s="99">
        <f t="shared" si="3"/>
        <v>3178.56</v>
      </c>
      <c r="O15" s="73" t="b">
        <v>0</v>
      </c>
      <c r="P15" s="17"/>
      <c r="Q15" s="100" t="s">
        <v>142</v>
      </c>
      <c r="R15" s="41" t="s">
        <v>148</v>
      </c>
      <c r="S15" s="101">
        <v>45485.0</v>
      </c>
      <c r="T15" s="17"/>
      <c r="U15" s="17"/>
      <c r="V15" s="37">
        <f t="shared" si="4"/>
        <v>3178.56</v>
      </c>
    </row>
    <row r="16">
      <c r="A16" s="64" t="s">
        <v>108</v>
      </c>
      <c r="B16" s="108" t="s">
        <v>109</v>
      </c>
      <c r="C16" s="96">
        <v>7.48</v>
      </c>
      <c r="D16" s="64">
        <v>12.0</v>
      </c>
      <c r="E16" s="64">
        <v>80.0</v>
      </c>
      <c r="F16" s="66">
        <f t="shared" si="1"/>
        <v>7</v>
      </c>
      <c r="G16" s="104" t="s">
        <v>110</v>
      </c>
      <c r="H16" s="105" t="s">
        <v>79</v>
      </c>
      <c r="I16" s="103" t="s">
        <v>111</v>
      </c>
      <c r="J16" s="98"/>
      <c r="K16" s="98"/>
      <c r="L16" s="98"/>
      <c r="M16" s="71">
        <f t="shared" si="2"/>
        <v>52.36</v>
      </c>
      <c r="N16" s="99">
        <f t="shared" si="3"/>
        <v>3230.92</v>
      </c>
      <c r="O16" s="73" t="b">
        <v>0</v>
      </c>
      <c r="P16" s="17"/>
      <c r="Q16" s="100" t="s">
        <v>142</v>
      </c>
      <c r="R16" s="41" t="s">
        <v>148</v>
      </c>
      <c r="S16" s="101">
        <v>45485.0</v>
      </c>
      <c r="T16" s="17"/>
      <c r="U16" s="17"/>
      <c r="V16" s="37">
        <f t="shared" si="4"/>
        <v>3230.92</v>
      </c>
    </row>
    <row r="17">
      <c r="A17" s="64" t="s">
        <v>112</v>
      </c>
      <c r="B17" s="64" t="s">
        <v>113</v>
      </c>
      <c r="C17" s="96">
        <v>9.35</v>
      </c>
      <c r="D17" s="64">
        <v>5.0</v>
      </c>
      <c r="E17" s="64">
        <v>3.0</v>
      </c>
      <c r="F17" s="66">
        <f t="shared" si="1"/>
        <v>1</v>
      </c>
      <c r="G17" s="112" t="s">
        <v>114</v>
      </c>
      <c r="H17" s="105" t="s">
        <v>79</v>
      </c>
      <c r="I17" s="103" t="s">
        <v>115</v>
      </c>
      <c r="J17" s="98"/>
      <c r="K17" s="98"/>
      <c r="L17" s="98"/>
      <c r="M17" s="71">
        <f t="shared" si="2"/>
        <v>9.35</v>
      </c>
      <c r="N17" s="99">
        <f t="shared" si="3"/>
        <v>3240.27</v>
      </c>
      <c r="O17" s="73"/>
      <c r="P17" s="17"/>
      <c r="Q17" s="100" t="s">
        <v>142</v>
      </c>
      <c r="R17" s="41" t="s">
        <v>148</v>
      </c>
      <c r="S17" s="101">
        <v>45485.0</v>
      </c>
      <c r="T17" s="17"/>
      <c r="U17" s="17"/>
      <c r="V17" s="37">
        <f t="shared" si="4"/>
        <v>3240.27</v>
      </c>
    </row>
    <row r="18">
      <c r="A18" s="64" t="s">
        <v>89</v>
      </c>
      <c r="B18" s="64" t="s">
        <v>116</v>
      </c>
      <c r="C18" s="96">
        <v>9.86</v>
      </c>
      <c r="D18" s="64">
        <v>100.0</v>
      </c>
      <c r="E18" s="64">
        <v>12.0</v>
      </c>
      <c r="F18" s="66">
        <f t="shared" si="1"/>
        <v>1</v>
      </c>
      <c r="G18" s="113" t="s">
        <v>117</v>
      </c>
      <c r="H18" s="105" t="s">
        <v>79</v>
      </c>
      <c r="I18" s="103" t="s">
        <v>118</v>
      </c>
      <c r="J18" s="66"/>
      <c r="K18" s="66"/>
      <c r="L18" s="66"/>
      <c r="M18" s="71">
        <f t="shared" si="2"/>
        <v>9.86</v>
      </c>
      <c r="N18" s="99">
        <f t="shared" si="3"/>
        <v>3250.13</v>
      </c>
      <c r="O18" s="73"/>
      <c r="P18" s="17"/>
      <c r="Q18" s="100" t="s">
        <v>142</v>
      </c>
      <c r="R18" s="41" t="s">
        <v>148</v>
      </c>
      <c r="S18" s="101">
        <v>45485.0</v>
      </c>
      <c r="T18" s="17"/>
      <c r="U18" s="17"/>
      <c r="V18" s="37">
        <f t="shared" si="4"/>
        <v>3250.13</v>
      </c>
    </row>
    <row r="19">
      <c r="A19" s="64" t="s">
        <v>119</v>
      </c>
      <c r="B19" s="64" t="s">
        <v>120</v>
      </c>
      <c r="C19" s="96">
        <v>8.83</v>
      </c>
      <c r="D19" s="64">
        <v>100.0</v>
      </c>
      <c r="E19" s="64">
        <v>24.0</v>
      </c>
      <c r="F19" s="66">
        <f t="shared" si="1"/>
        <v>1</v>
      </c>
      <c r="G19" s="87" t="s">
        <v>121</v>
      </c>
      <c r="H19" s="105" t="s">
        <v>79</v>
      </c>
      <c r="I19" s="103" t="s">
        <v>122</v>
      </c>
      <c r="J19" s="98"/>
      <c r="K19" s="98"/>
      <c r="L19" s="98"/>
      <c r="M19" s="71">
        <f t="shared" si="2"/>
        <v>8.83</v>
      </c>
      <c r="N19" s="99">
        <f t="shared" si="3"/>
        <v>3258.96</v>
      </c>
      <c r="O19" s="73"/>
      <c r="P19" s="17"/>
      <c r="Q19" s="100" t="s">
        <v>142</v>
      </c>
      <c r="R19" s="41" t="s">
        <v>148</v>
      </c>
      <c r="S19" s="101">
        <v>45485.0</v>
      </c>
      <c r="T19" s="17"/>
      <c r="U19" s="17"/>
      <c r="V19" s="37">
        <f t="shared" si="4"/>
        <v>3258.96</v>
      </c>
    </row>
    <row r="20">
      <c r="A20" s="63" t="s">
        <v>123</v>
      </c>
      <c r="B20" s="63" t="s">
        <v>124</v>
      </c>
      <c r="C20" s="114">
        <v>6.61</v>
      </c>
      <c r="D20" s="64">
        <v>1.0</v>
      </c>
      <c r="E20" s="64">
        <v>8.0</v>
      </c>
      <c r="F20" s="66">
        <f t="shared" si="1"/>
        <v>8</v>
      </c>
      <c r="G20" s="115" t="s">
        <v>125</v>
      </c>
      <c r="H20" s="68" t="s">
        <v>79</v>
      </c>
      <c r="I20" s="116" t="s">
        <v>126</v>
      </c>
      <c r="J20" s="98"/>
      <c r="K20" s="98"/>
      <c r="L20" s="98"/>
      <c r="M20" s="71">
        <f t="shared" si="2"/>
        <v>52.88</v>
      </c>
      <c r="N20" s="99">
        <f t="shared" si="3"/>
        <v>3311.84</v>
      </c>
      <c r="O20" s="73"/>
      <c r="P20" s="17"/>
      <c r="Q20" s="100" t="s">
        <v>142</v>
      </c>
      <c r="R20" s="41" t="s">
        <v>148</v>
      </c>
      <c r="S20" s="101">
        <v>45485.0</v>
      </c>
      <c r="T20" s="17"/>
      <c r="U20" s="17"/>
      <c r="V20" s="37">
        <f t="shared" si="4"/>
        <v>3311.84</v>
      </c>
    </row>
    <row r="21">
      <c r="A21" s="63" t="s">
        <v>127</v>
      </c>
      <c r="B21" s="63" t="s">
        <v>128</v>
      </c>
      <c r="C21" s="65">
        <v>13.1</v>
      </c>
      <c r="D21" s="63">
        <v>100.0</v>
      </c>
      <c r="E21" s="63">
        <v>8.0</v>
      </c>
      <c r="F21" s="66">
        <f t="shared" si="1"/>
        <v>1</v>
      </c>
      <c r="G21" s="113" t="s">
        <v>129</v>
      </c>
      <c r="H21" s="68" t="s">
        <v>79</v>
      </c>
      <c r="I21" s="117" t="s">
        <v>130</v>
      </c>
      <c r="J21" s="70"/>
      <c r="K21" s="70"/>
      <c r="L21" s="70"/>
      <c r="M21" s="71">
        <f t="shared" si="2"/>
        <v>13.1</v>
      </c>
      <c r="N21" s="99">
        <f t="shared" si="3"/>
        <v>3324.94</v>
      </c>
      <c r="O21" s="73"/>
      <c r="Q21" s="100" t="s">
        <v>142</v>
      </c>
      <c r="R21" s="41" t="s">
        <v>148</v>
      </c>
      <c r="S21" s="101">
        <v>45485.0</v>
      </c>
      <c r="V21" s="37">
        <f t="shared" si="4"/>
        <v>3324.94</v>
      </c>
    </row>
    <row r="22">
      <c r="A22" s="63" t="s">
        <v>131</v>
      </c>
      <c r="B22" s="63" t="s">
        <v>132</v>
      </c>
      <c r="C22" s="65">
        <v>7.36</v>
      </c>
      <c r="D22" s="63">
        <v>1.0</v>
      </c>
      <c r="E22" s="63">
        <v>4.0</v>
      </c>
      <c r="F22" s="66">
        <f t="shared" si="1"/>
        <v>4</v>
      </c>
      <c r="G22" s="113" t="s">
        <v>125</v>
      </c>
      <c r="H22" s="68" t="s">
        <v>79</v>
      </c>
      <c r="I22" s="117" t="s">
        <v>126</v>
      </c>
      <c r="J22" s="70"/>
      <c r="K22" s="70"/>
      <c r="L22" s="70"/>
      <c r="M22" s="71">
        <f t="shared" si="2"/>
        <v>29.44</v>
      </c>
      <c r="N22" s="99">
        <f t="shared" si="3"/>
        <v>3354.38</v>
      </c>
      <c r="O22" s="73"/>
      <c r="Q22" s="100" t="s">
        <v>142</v>
      </c>
      <c r="R22" s="41" t="s">
        <v>148</v>
      </c>
      <c r="S22" s="101">
        <v>45485.0</v>
      </c>
      <c r="V22" s="37">
        <f t="shared" si="4"/>
        <v>3354.38</v>
      </c>
    </row>
    <row r="23">
      <c r="A23" s="63"/>
      <c r="B23" s="63"/>
      <c r="C23" s="65"/>
      <c r="D23" s="63"/>
      <c r="E23" s="63"/>
      <c r="F23" s="66" t="str">
        <f t="shared" si="1"/>
        <v>#DIV/0!</v>
      </c>
      <c r="G23" s="118"/>
      <c r="H23" s="119"/>
      <c r="I23" s="120"/>
      <c r="J23" s="70"/>
      <c r="K23" s="70"/>
      <c r="L23" s="70"/>
      <c r="M23" s="98" t="str">
        <f t="shared" si="2"/>
        <v>#DIV/0!</v>
      </c>
      <c r="N23" s="121" t="str">
        <f t="shared" si="3"/>
        <v>#DIV/0!</v>
      </c>
      <c r="O23" s="73"/>
      <c r="Q23" s="62"/>
    </row>
    <row r="24">
      <c r="A24" s="63"/>
      <c r="B24" s="74"/>
      <c r="C24" s="65"/>
      <c r="D24" s="63"/>
      <c r="E24" s="63"/>
      <c r="F24" s="66">
        <f>CEILING(E24/$D$20,1)</f>
        <v>0</v>
      </c>
      <c r="G24" s="122"/>
      <c r="H24" s="119"/>
      <c r="I24" s="123"/>
      <c r="J24" s="76"/>
      <c r="K24" s="77"/>
      <c r="L24" s="70"/>
      <c r="M24" s="71">
        <f t="shared" si="2"/>
        <v>0</v>
      </c>
      <c r="N24" s="121" t="str">
        <f t="shared" si="3"/>
        <v>#DIV/0!</v>
      </c>
      <c r="O24" s="73"/>
      <c r="P24" s="78"/>
      <c r="Q24" s="62"/>
    </row>
    <row r="25">
      <c r="A25" s="78"/>
      <c r="B25" s="79"/>
      <c r="C25" s="80"/>
      <c r="D25" s="78"/>
      <c r="E25" s="78"/>
      <c r="G25" s="81"/>
      <c r="H25" s="82"/>
      <c r="I25" s="83"/>
      <c r="N25" s="84"/>
      <c r="Q25" s="62"/>
    </row>
    <row r="26">
      <c r="A26" s="78"/>
      <c r="B26" s="78"/>
      <c r="C26" s="86"/>
      <c r="D26" s="78"/>
      <c r="E26" s="78"/>
      <c r="F26" s="78"/>
      <c r="G26" s="87"/>
      <c r="H26" s="82"/>
      <c r="I26" s="88"/>
      <c r="N26" s="84"/>
      <c r="Q26" s="62"/>
    </row>
    <row r="27">
      <c r="A27" s="78"/>
      <c r="B27" s="78"/>
      <c r="C27" s="80"/>
      <c r="D27" s="78"/>
      <c r="E27" s="78"/>
      <c r="G27" s="81"/>
      <c r="H27" s="82"/>
      <c r="I27" s="83"/>
      <c r="N27" s="84"/>
      <c r="Q27" s="62"/>
    </row>
    <row r="28">
      <c r="A28" s="78"/>
      <c r="B28" s="78"/>
      <c r="C28" s="80"/>
      <c r="D28" s="78"/>
      <c r="E28" s="78"/>
      <c r="G28" s="81"/>
      <c r="H28" s="82"/>
      <c r="I28" s="83"/>
      <c r="N28" s="84"/>
      <c r="Q28" s="62"/>
    </row>
    <row r="29">
      <c r="A29" s="78"/>
      <c r="B29" s="78"/>
      <c r="C29" s="80"/>
      <c r="D29" s="78"/>
      <c r="E29" s="78"/>
      <c r="G29" s="81"/>
      <c r="H29" s="82"/>
      <c r="I29" s="83"/>
      <c r="N29" s="84"/>
      <c r="Q29" s="62"/>
    </row>
    <row r="30">
      <c r="A30" s="78"/>
      <c r="B30" s="78"/>
      <c r="C30" s="80"/>
      <c r="D30" s="78"/>
      <c r="E30" s="78"/>
      <c r="G30" s="81"/>
      <c r="H30" s="82"/>
      <c r="I30" s="83"/>
      <c r="N30" s="84"/>
      <c r="Q30" s="62"/>
    </row>
    <row r="31">
      <c r="A31" s="78"/>
      <c r="B31" s="78"/>
      <c r="C31" s="80"/>
      <c r="D31" s="78"/>
      <c r="E31" s="78"/>
      <c r="G31" s="81"/>
      <c r="H31" s="82"/>
      <c r="I31" s="83"/>
      <c r="N31" s="84"/>
      <c r="Q31" s="62"/>
    </row>
    <row r="32">
      <c r="A32" s="78"/>
      <c r="B32" s="78"/>
      <c r="C32" s="80"/>
      <c r="D32" s="78"/>
      <c r="E32" s="78"/>
      <c r="F32" s="78"/>
      <c r="H32" s="78"/>
      <c r="I32" s="88"/>
      <c r="N32" s="84"/>
      <c r="Q32" s="62"/>
      <c r="Z32" s="85"/>
    </row>
    <row r="33">
      <c r="A33" s="78"/>
      <c r="B33" s="78"/>
      <c r="C33" s="80"/>
      <c r="D33" s="78"/>
      <c r="E33" s="78"/>
      <c r="F33" s="78"/>
      <c r="H33" s="78"/>
      <c r="I33" s="88"/>
      <c r="N33" s="84"/>
      <c r="Q33" s="62"/>
      <c r="Z33" s="89"/>
    </row>
    <row r="34">
      <c r="A34" s="78"/>
      <c r="B34" s="78"/>
      <c r="C34" s="80"/>
      <c r="D34" s="78"/>
      <c r="E34" s="78"/>
      <c r="F34" s="78"/>
      <c r="H34" s="78"/>
      <c r="I34" s="88"/>
      <c r="N34" s="84"/>
      <c r="Q34" s="62"/>
    </row>
    <row r="35">
      <c r="I35" s="90"/>
      <c r="Q35" s="62"/>
    </row>
    <row r="36">
      <c r="G36" s="91"/>
      <c r="I36" s="90"/>
      <c r="L36" s="92" t="s">
        <v>140</v>
      </c>
      <c r="M36" s="124" t="str">
        <f>SUM(M2:M34)</f>
        <v>#DIV/0!</v>
      </c>
      <c r="Q36" s="62"/>
      <c r="Z36" s="86"/>
    </row>
    <row r="37">
      <c r="G37" s="91"/>
      <c r="I37" s="90"/>
      <c r="Q37" s="62"/>
    </row>
    <row r="38">
      <c r="G38" s="91"/>
      <c r="I38" s="90"/>
      <c r="Q38" s="62"/>
    </row>
    <row r="39">
      <c r="G39" s="91"/>
      <c r="I39" s="90"/>
      <c r="Q39" s="62"/>
    </row>
    <row r="40">
      <c r="G40" s="91"/>
      <c r="I40" s="90"/>
      <c r="Q40" s="62"/>
    </row>
    <row r="41">
      <c r="G41" s="91"/>
      <c r="I41" s="90"/>
      <c r="Q41" s="62"/>
    </row>
    <row r="42">
      <c r="G42" s="91"/>
      <c r="I42" s="90"/>
      <c r="Q42" s="62"/>
    </row>
    <row r="43">
      <c r="G43" s="91"/>
      <c r="I43" s="90"/>
      <c r="Q43" s="62"/>
    </row>
    <row r="44">
      <c r="G44" s="91"/>
      <c r="I44" s="90"/>
      <c r="Q44" s="62"/>
    </row>
    <row r="45">
      <c r="G45" s="91"/>
      <c r="I45" s="90"/>
      <c r="Q45" s="62"/>
    </row>
    <row r="46">
      <c r="G46" s="91"/>
      <c r="I46" s="90"/>
      <c r="Q46" s="62"/>
    </row>
    <row r="47">
      <c r="G47" s="91"/>
      <c r="I47" s="90"/>
      <c r="Q47" s="62"/>
    </row>
    <row r="48">
      <c r="G48" s="91"/>
      <c r="I48" s="90"/>
      <c r="Q48" s="62"/>
    </row>
    <row r="49">
      <c r="G49" s="91"/>
      <c r="I49" s="90"/>
      <c r="Q49" s="62"/>
    </row>
    <row r="50">
      <c r="G50" s="91"/>
      <c r="I50" s="90"/>
      <c r="Q50" s="62"/>
    </row>
    <row r="51">
      <c r="C51" s="80"/>
      <c r="I51" s="88"/>
      <c r="N51" s="94"/>
      <c r="Q51" s="62"/>
    </row>
    <row r="52">
      <c r="C52" s="86"/>
      <c r="I52" s="83"/>
      <c r="N52" s="94"/>
      <c r="Q52" s="62"/>
    </row>
    <row r="53">
      <c r="G53" s="91"/>
      <c r="I53" s="90"/>
      <c r="Q53" s="62"/>
    </row>
    <row r="54">
      <c r="G54" s="91"/>
      <c r="I54" s="90"/>
      <c r="Q54" s="62"/>
    </row>
    <row r="55">
      <c r="G55" s="91"/>
      <c r="I55" s="90"/>
      <c r="Q55" s="62"/>
    </row>
    <row r="56">
      <c r="G56" s="91"/>
      <c r="I56" s="90"/>
      <c r="Q56" s="62"/>
    </row>
    <row r="57">
      <c r="G57" s="91"/>
      <c r="I57" s="90"/>
      <c r="Q57" s="62"/>
    </row>
    <row r="58">
      <c r="G58" s="91"/>
      <c r="I58" s="90"/>
      <c r="Q58" s="62"/>
    </row>
    <row r="59">
      <c r="G59" s="91"/>
      <c r="I59" s="90"/>
      <c r="Q59" s="62"/>
    </row>
    <row r="60">
      <c r="I60" s="90"/>
      <c r="Q60" s="62"/>
    </row>
    <row r="61">
      <c r="I61" s="90"/>
      <c r="Q61" s="62"/>
    </row>
    <row r="62">
      <c r="I62" s="90"/>
      <c r="Q62" s="62"/>
    </row>
    <row r="63">
      <c r="I63" s="90"/>
      <c r="Q63" s="62"/>
    </row>
    <row r="64">
      <c r="I64" s="90"/>
      <c r="Q64" s="62"/>
    </row>
    <row r="65">
      <c r="I65" s="90"/>
      <c r="Q65" s="62"/>
    </row>
    <row r="66">
      <c r="I66" s="90"/>
      <c r="Q66" s="62"/>
    </row>
    <row r="67">
      <c r="I67" s="90"/>
      <c r="Q67" s="62"/>
    </row>
    <row r="68">
      <c r="I68" s="90"/>
      <c r="Q68" s="62"/>
    </row>
    <row r="69">
      <c r="I69" s="90"/>
      <c r="Q69" s="62"/>
    </row>
    <row r="70">
      <c r="I70" s="90"/>
      <c r="Q70" s="62"/>
    </row>
    <row r="71">
      <c r="I71" s="90"/>
      <c r="Q71" s="62"/>
    </row>
    <row r="72">
      <c r="I72" s="90"/>
      <c r="Q72" s="62"/>
    </row>
    <row r="73">
      <c r="I73" s="90"/>
      <c r="Q73" s="62"/>
    </row>
    <row r="74">
      <c r="I74" s="90"/>
      <c r="Q74" s="62"/>
    </row>
    <row r="75">
      <c r="I75" s="90"/>
      <c r="Q75" s="62"/>
    </row>
    <row r="76">
      <c r="I76" s="90"/>
      <c r="Q76" s="62"/>
    </row>
    <row r="77">
      <c r="I77" s="90"/>
      <c r="Q77" s="62"/>
    </row>
    <row r="78">
      <c r="I78" s="90"/>
      <c r="Q78" s="62"/>
    </row>
    <row r="79">
      <c r="I79" s="90"/>
      <c r="Q79" s="62"/>
    </row>
    <row r="80">
      <c r="I80" s="90"/>
      <c r="Q80" s="62"/>
    </row>
    <row r="81">
      <c r="I81" s="90"/>
      <c r="Q81" s="62"/>
    </row>
    <row r="82">
      <c r="I82" s="90"/>
      <c r="Q82" s="62"/>
    </row>
    <row r="83">
      <c r="I83" s="90"/>
      <c r="Q83" s="62"/>
    </row>
    <row r="84">
      <c r="I84" s="90"/>
      <c r="Q84" s="62"/>
    </row>
    <row r="85">
      <c r="I85" s="90"/>
      <c r="Q85" s="62"/>
    </row>
    <row r="86">
      <c r="I86" s="90"/>
      <c r="Q86" s="62"/>
    </row>
    <row r="87">
      <c r="I87" s="90"/>
      <c r="Q87" s="62"/>
    </row>
    <row r="88">
      <c r="I88" s="90"/>
      <c r="Q88" s="62"/>
    </row>
    <row r="89">
      <c r="I89" s="90"/>
      <c r="Q89" s="62"/>
    </row>
    <row r="90">
      <c r="I90" s="90"/>
      <c r="Q90" s="62"/>
    </row>
    <row r="91">
      <c r="I91" s="90"/>
      <c r="Q91" s="62"/>
    </row>
    <row r="92">
      <c r="I92" s="90"/>
      <c r="Q92" s="62"/>
    </row>
    <row r="93">
      <c r="I93" s="90"/>
      <c r="Q93" s="62"/>
    </row>
    <row r="94">
      <c r="I94" s="90"/>
      <c r="Q94" s="62"/>
    </row>
    <row r="95">
      <c r="I95" s="90"/>
      <c r="Q95" s="62"/>
    </row>
    <row r="96">
      <c r="I96" s="90"/>
      <c r="Q96" s="62"/>
    </row>
    <row r="97">
      <c r="I97" s="90"/>
      <c r="Q97" s="62"/>
    </row>
    <row r="98">
      <c r="I98" s="90"/>
      <c r="Q98" s="62"/>
    </row>
    <row r="99">
      <c r="I99" s="90"/>
      <c r="Q99" s="62"/>
    </row>
    <row r="100">
      <c r="I100" s="90"/>
      <c r="Q100" s="62"/>
    </row>
    <row r="101">
      <c r="I101" s="90"/>
      <c r="Q101" s="62"/>
    </row>
    <row r="102">
      <c r="I102" s="90"/>
      <c r="Q102" s="62"/>
    </row>
    <row r="103">
      <c r="I103" s="90"/>
      <c r="Q103" s="62"/>
    </row>
    <row r="104">
      <c r="I104" s="90"/>
      <c r="Q104" s="62"/>
    </row>
    <row r="105">
      <c r="I105" s="90"/>
      <c r="Q105" s="62"/>
    </row>
    <row r="106">
      <c r="I106" s="90"/>
      <c r="Q106" s="62"/>
    </row>
    <row r="107">
      <c r="I107" s="90"/>
      <c r="Q107" s="62"/>
    </row>
    <row r="108">
      <c r="I108" s="90"/>
      <c r="Q108" s="62"/>
    </row>
    <row r="109">
      <c r="I109" s="90"/>
      <c r="Q109" s="62"/>
    </row>
    <row r="110">
      <c r="I110" s="90"/>
      <c r="Q110" s="62"/>
    </row>
    <row r="111">
      <c r="I111" s="90"/>
      <c r="Q111" s="62"/>
    </row>
    <row r="112">
      <c r="I112" s="90"/>
      <c r="Q112" s="62"/>
    </row>
    <row r="113">
      <c r="I113" s="90"/>
      <c r="Q113" s="62"/>
    </row>
    <row r="114">
      <c r="I114" s="90"/>
      <c r="Q114" s="62"/>
    </row>
    <row r="115">
      <c r="I115" s="90"/>
      <c r="Q115" s="62"/>
    </row>
    <row r="116">
      <c r="I116" s="90"/>
      <c r="Q116" s="62"/>
    </row>
  </sheetData>
  <customSheetViews>
    <customSheetView guid="{D7E9DF7F-435C-42AE-99B1-3E185F308F5A}" filter="1" showAutoFilter="1">
      <autoFilter ref="$H$1:$H$110"/>
    </customSheetView>
    <customSheetView guid="{514A3C1B-6CCE-4092-BFD9-4C5D5EA6EC62}" filter="1" showAutoFilter="1">
      <autoFilter ref="$O$1:$O$110"/>
    </customSheetView>
  </customSheetView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2"/>
</worksheet>
</file>