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o320-1k-cryostat" sheetId="1" r:id="rId4"/>
    <sheet state="visible" name="Old - 1K Krister BOM" sheetId="2" r:id="rId5"/>
    <sheet state="visible" name="Old - Second ORDER BOM" sheetId="3" r:id="rId6"/>
  </sheets>
  <definedNames>
    <definedName hidden="1" localSheetId="2" name="Z_1200D565_E6F9_4E5F_A36D_DED640934FAB_.wvu.FilterData">'Old - Second ORDER BOM'!$H$1:$H$110</definedName>
    <definedName hidden="1" localSheetId="1" name="Z_1200D565_E6F9_4E5F_A36D_DED640934FAB_.wvu.FilterData">'Old - 1K Krister BOM'!$H$1:$H$117</definedName>
    <definedName hidden="1" localSheetId="2" name="Z_26603AB2_D449_4378_9216_FA198B0DAC95_.wvu.FilterData">'Old - Second ORDER BOM'!$O$1:$O$110</definedName>
    <definedName hidden="1" localSheetId="1" name="Z_26603AB2_D449_4378_9216_FA198B0DAC95_.wvu.FilterData">'Old - 1K Krister BOM'!$O$1:$O$117</definedName>
  </definedNames>
  <calcPr/>
  <customWorkbookViews>
    <customWorkbookView activeSheetId="0" maximized="1" windowHeight="0" windowWidth="0" guid="{1200D565-E6F9-4E5F-A36D-DED640934FAB}" name="Vendor FIlter"/>
    <customWorkbookView activeSheetId="0" maximized="1" windowHeight="0" windowWidth="0" guid="{26603AB2-D449-4378-9216-FA198B0DAC95}" name="Ordered Filter"/>
  </customWorkbookViews>
  <extLst>
    <ext uri="GoogleSheetsCustomDataVersion2">
      <go:sheetsCustomData xmlns:go="http://customooxmlschemas.google.com/" r:id="rId7" roundtripDataChecksum="k2341kgHIGicEWlmNDA6YpJ1M/kQwLy3/XiBmQRgbi0="/>
    </ext>
  </extLst>
</workbook>
</file>

<file path=xl/sharedStrings.xml><?xml version="1.0" encoding="utf-8"?>
<sst xmlns="http://schemas.openxmlformats.org/spreadsheetml/2006/main" count="495" uniqueCount="244">
  <si>
    <t>Item Description</t>
  </si>
  <si>
    <t>Items for One Cryostat</t>
  </si>
  <si>
    <t>Where is it used?</t>
  </si>
  <si>
    <t>Price</t>
  </si>
  <si>
    <t># per pkg</t>
  </si>
  <si>
    <t># needed</t>
  </si>
  <si>
    <t># pkg to buy</t>
  </si>
  <si>
    <t>Part #</t>
  </si>
  <si>
    <t>Vendor</t>
  </si>
  <si>
    <t>Link</t>
  </si>
  <si>
    <t>Alternate Vendors</t>
  </si>
  <si>
    <t>Alternate Part #</t>
  </si>
  <si>
    <t>Web Page</t>
  </si>
  <si>
    <t>Alternate links</t>
  </si>
  <si>
    <t>Sub-Total</t>
  </si>
  <si>
    <t>Ordered?</t>
  </si>
  <si>
    <t>Who ordered</t>
  </si>
  <si>
    <t>Adding Sub-total</t>
  </si>
  <si>
    <t>Date</t>
  </si>
  <si>
    <t>PO Number</t>
  </si>
  <si>
    <t>Expected</t>
  </si>
  <si>
    <t>Where sent</t>
  </si>
  <si>
    <t>Where stored</t>
  </si>
  <si>
    <t>Individual subtotals</t>
  </si>
  <si>
    <t>Notes</t>
  </si>
  <si>
    <t>Lead Time</t>
  </si>
  <si>
    <t>Ideal Vacuum Cube 9x9x9 in.</t>
  </si>
  <si>
    <t>Collar</t>
  </si>
  <si>
    <t>collar</t>
  </si>
  <si>
    <t>Cube Frame</t>
  </si>
  <si>
    <t>Ideal Vacuum Cube, 9x9 Vacuum Chamber, Plate With 4 KF-40 (NW-40) Pumping of Feedthrough Ports</t>
  </si>
  <si>
    <t>P109589</t>
  </si>
  <si>
    <t>Ideal Vacuum Products</t>
  </si>
  <si>
    <t>P1010939</t>
  </si>
  <si>
    <t>https://www.idealvac.com/en-us/Ideal-Vacuum-Cube-9x9x9-in-Vacuum-Chamber-Frame-6061-T6-Aluminum-Alloy/pp/P109589</t>
  </si>
  <si>
    <t>Hubs.com</t>
  </si>
  <si>
    <t>https://www.idealvac.com/Ideal-Vacuum-Cube/pp/P1010939</t>
  </si>
  <si>
    <t>https://www.hubs.com/</t>
  </si>
  <si>
    <t>O-ring for RDK101-DL</t>
  </si>
  <si>
    <t>McMaster</t>
  </si>
  <si>
    <t>AS568-154 O-Ring, Viton</t>
  </si>
  <si>
    <t>https://www.mcmaster.com/9464K285/</t>
  </si>
  <si>
    <t>SKW</t>
  </si>
  <si>
    <t>SW240364</t>
  </si>
  <si>
    <t>ISO320 single claw clamp</t>
  </si>
  <si>
    <t>LDS Vacuum</t>
  </si>
  <si>
    <t>ISO320-500-C</t>
  </si>
  <si>
    <t>Ideal Vacuum Cube Hardware Kit, Designed For 9x9x9 Cubes, Includes Viton O-rings And Plate Bolts</t>
  </si>
  <si>
    <t>https://www.ldsvacuumshopper.com/lf400and500s.html</t>
  </si>
  <si>
    <t>Cube Walls to Frame</t>
  </si>
  <si>
    <t>Ideal Vacuum Cube, 9x9 Vacuum Chamber Plate With One Each KF-50 (NW-50) Pumping or Feedthrough Port</t>
  </si>
  <si>
    <t>1 x on top Cube, 1 x on bottom cube (5/10)</t>
  </si>
  <si>
    <t>P109824</t>
  </si>
  <si>
    <t>https://www.idealvac.com/Ideal-Vacuum-Cube-Hardware-Kit/pp/P109824</t>
  </si>
  <si>
    <t>P109595</t>
  </si>
  <si>
    <t>https://www.idealvac.com/Ideal-Vacuum-Cube/pp/P109595</t>
  </si>
  <si>
    <t>ISO320 blank + oring + clamp kit</t>
  </si>
  <si>
    <t>ISO320-AB-VE</t>
  </si>
  <si>
    <t>https://www.ldsvacuumshopper.com/isalbl9.html</t>
  </si>
  <si>
    <t>ISO320 centering ring + oring</t>
  </si>
  <si>
    <t>Ideal Vacuum O-Ring Removal Tool, Non Scratch Polycarbonate, Keeps O-Ring Seals and Grooves from Damage</t>
  </si>
  <si>
    <t>Install/removing o-rings</t>
  </si>
  <si>
    <t>ISO320-1200-AR-V</t>
  </si>
  <si>
    <t>https://www.ldsvacuumshopper.com/lfalcenrinwi.html</t>
  </si>
  <si>
    <t>P1010547</t>
  </si>
  <si>
    <t>https://www.idealvac.com/Ideal-Vacuum-Cube-Plate-Maintenance-and-Service-Tool-Kit/pp/P1010554</t>
  </si>
  <si>
    <t>Ideal Vacuum Cube 9x9 in. Vacuum Chamber Blank Plate, Without Flanged Ports, 6061-T6 Aluminum Alloy</t>
  </si>
  <si>
    <t>2x on top, 3x on bottom, 1 extra (11/10)</t>
  </si>
  <si>
    <t>P109590</t>
  </si>
  <si>
    <t>https://www.idealvac.com/Ideal-Vacuum-Cube-9x9-in-Vacuum-Chamber-Blank-Plate/pp/P109590</t>
  </si>
  <si>
    <t>NW50 blanks</t>
  </si>
  <si>
    <t>NW50-200-SB</t>
  </si>
  <si>
    <t>https://www.ldsvacuumshopper.com/qfstainblan2.html</t>
  </si>
  <si>
    <t>Ideal Vacuum Cube, 9x9x9 in., Multicube Inner Connection Coupling Kit, Includes Hardware and Seals.</t>
  </si>
  <si>
    <t>Between Two Cube Frames</t>
  </si>
  <si>
    <t>P1012249</t>
  </si>
  <si>
    <t>https://www.idealvac.com/Ideal-Vacuum-Cube/pp/P1012249</t>
  </si>
  <si>
    <t>Ideal Vacuum Cube Quick Knob Assembly, Includes Quick Knob, Fastener, Fastening Bolt (1ea)</t>
  </si>
  <si>
    <t>3 x on bottom hinge wall</t>
  </si>
  <si>
    <t>NW50 Bulkhead clamp 10 pack</t>
  </si>
  <si>
    <t>P107936</t>
  </si>
  <si>
    <t>https://www.idealvac.com/Ideal-Vacuum-Cube-Quick-Knob-Assembly/pp/P107936</t>
  </si>
  <si>
    <t>NW50-BC-PK10</t>
  </si>
  <si>
    <t>CENTERING RING,QF160,SS INNER AL OUTER,FKM O-RING</t>
  </si>
  <si>
    <t>iso 160 centering ring</t>
  </si>
  <si>
    <t>https://www.ldsvacuumshopper.com/nwbucl3.html</t>
  </si>
  <si>
    <t>P101769</t>
  </si>
  <si>
    <t>https://www.idealvac.com/ISO-160-Centering-Ring-Aluminum-with-Viton-O-Ring-NW-160-Vacuum-Flange-Size-Typically-Used-with-6-Inch-OD-(1524-mm)-Tubing/pp/P101769</t>
  </si>
  <si>
    <t>NW40 blanks</t>
  </si>
  <si>
    <t>NW40-150-SB</t>
  </si>
  <si>
    <t>https://www.ldsvacuumshopper.com/qfstainblan1.html</t>
  </si>
  <si>
    <t>Custom iso160 full nipple 5.5" length</t>
  </si>
  <si>
    <t>Ontop of cryostat iso160. Used in place of flexible bellow</t>
  </si>
  <si>
    <t>9x9 Plate with ISO-160 port</t>
  </si>
  <si>
    <t>Top of cube (RDK101 Mount) (1/10)</t>
  </si>
  <si>
    <t>ISO160-600-NS</t>
  </si>
  <si>
    <t>https://www.ldsnipplefabricator.com/</t>
  </si>
  <si>
    <t>P1012389</t>
  </si>
  <si>
    <t>https://www.idealvac.com/en-us/Ideal-Vacuum-Cube/pp/P1012389</t>
  </si>
  <si>
    <t>NW40 bulkhead clamp 10 pack</t>
  </si>
  <si>
    <t>NW40-BC-PK10</t>
  </si>
  <si>
    <t>https://www.ldsvacuumshopper.com/nwbucl2.html</t>
  </si>
  <si>
    <t>SW240365</t>
  </si>
  <si>
    <t>5 days Pending mfg</t>
  </si>
  <si>
    <t>9x9 Blank Plate</t>
  </si>
  <si>
    <t>Bot Cube: Bot (2/10)</t>
  </si>
  <si>
    <t>ISO-160 Claw Clamp Kit (4x) 5-16/18</t>
  </si>
  <si>
    <t>2x8 For RDK101. REQUIRE LESKER CLAMPS</t>
  </si>
  <si>
    <t>QF-SSC-ALJ</t>
  </si>
  <si>
    <t>Lesker</t>
  </si>
  <si>
    <t>https://www.lesker.com/newweb/flanges/hardware_iso_clamps.cfm?pgid=singleal</t>
  </si>
  <si>
    <t>NW25 blanks</t>
  </si>
  <si>
    <t>NW25-100-SB</t>
  </si>
  <si>
    <t>https://www.ldsvacuumshopper.com/qfstainblan.html</t>
  </si>
  <si>
    <t>Still require 2 x of yellow highlighted items. Only order enoguh for 1 cryostat.</t>
  </si>
  <si>
    <t>Top Cube Wall pump out (3/10)</t>
  </si>
  <si>
    <t>SW240366</t>
  </si>
  <si>
    <t>Chemical-Resistant Viton® Fluoroelastomer O-Ring 1/8 Fractional Width, Dash Number 240</t>
  </si>
  <si>
    <t>RDK101 O-ring, 1 for use, 1 extra</t>
  </si>
  <si>
    <t>9464K69</t>
  </si>
  <si>
    <t>NW25 bulkhead clamps</t>
  </si>
  <si>
    <t>McMaster-Carr</t>
  </si>
  <si>
    <t>https://www.mcmaster.com/9464K69/</t>
  </si>
  <si>
    <t>NW25-100-BC</t>
  </si>
  <si>
    <t>https://www.ldsvacuumshopper.com/qfbulclam1.html</t>
  </si>
  <si>
    <t>SW240367</t>
  </si>
  <si>
    <t>Copper Foil 1 Mill</t>
  </si>
  <si>
    <t>1x for 40K, 1x for 4K</t>
  </si>
  <si>
    <t>9709K11</t>
  </si>
  <si>
    <t>https://www.mcmaster.com/9709K11/</t>
  </si>
  <si>
    <t>M3 screws - 6mm</t>
  </si>
  <si>
    <t>1k</t>
  </si>
  <si>
    <t>https://www.mcmaster.com/91292A111/?s=m3+screws</t>
  </si>
  <si>
    <t>Belleville Disc Spring for 3/16" Shaft Diameter, 0.190" ID, 0.375" OD, 0.0180" Thick</t>
  </si>
  <si>
    <t>M5 screws - 25 mm</t>
  </si>
  <si>
    <t>Tension 4K &amp; 40K plates 5x per screw. ,7 screws</t>
  </si>
  <si>
    <t>9712K15</t>
  </si>
  <si>
    <t>https://www.mcmaster.com/9712K15/</t>
  </si>
  <si>
    <t>https://www.mcmaster.com/91292A129/</t>
  </si>
  <si>
    <t>18-8 Stainless Steel Socket Head Screw 1/4"-20 Thread Size, 3/8" Long</t>
  </si>
  <si>
    <t>Idela vac adapter plate to bottom idealvac wall</t>
  </si>
  <si>
    <t>92196A535</t>
  </si>
  <si>
    <t>https://www.mcmaster.com/92196A535/</t>
  </si>
  <si>
    <t>M4 screws - 14 mm</t>
  </si>
  <si>
    <t>40k,4k,1k</t>
  </si>
  <si>
    <t>https://www.mcmaster.com/91292A038/</t>
  </si>
  <si>
    <t>18-8 Stianless Steel M5 20 mm 0.8mm Coarse Socket Head Screws (Maybe get 22 mm? 1mm left at bottom of screw)</t>
  </si>
  <si>
    <t>RDK to Top Adapter plate</t>
  </si>
  <si>
    <t>91292A128</t>
  </si>
  <si>
    <t>https://www.mcmaster.com/91292A128</t>
  </si>
  <si>
    <t>M5 belleville lock washers</t>
  </si>
  <si>
    <t>https://www.mcmaster.com/91477A123/</t>
  </si>
  <si>
    <t>M4 belleville lock washers</t>
  </si>
  <si>
    <t>18-8 Stainless Steel Split Lock Washer
for M5 Screw Size, 5.3 mm ID, 10 mm OD</t>
  </si>
  <si>
    <t>https://www.mcmaster.com/91477A141/</t>
  </si>
  <si>
    <t xml:space="preserve">92148A170
</t>
  </si>
  <si>
    <t>https://www.mcmaster.com/92148A170/</t>
  </si>
  <si>
    <t>WIRING</t>
  </si>
  <si>
    <t>18-8 Stainless Steel Socket Head Screw 4-40 Thread Size, 3/16" Long</t>
  </si>
  <si>
    <t xml:space="preserve">40K Walls (48 per side *4) and Top plate block Plates (32 for both top plates). 4K walls (21 per side *4) + 2 plates (8 * 2). 40K strap requires 16 screws. Total is 340 screws </t>
  </si>
  <si>
    <t>92196A105</t>
  </si>
  <si>
    <t>https://www.mcmaster.com/92196A105/</t>
  </si>
  <si>
    <t>SMA bulkhead feedthrough</t>
  </si>
  <si>
    <t>40k, 4k</t>
  </si>
  <si>
    <t>Digikey</t>
  </si>
  <si>
    <t>ADP-SMAF-SMAF-B-G</t>
  </si>
  <si>
    <t>https://www.digikey.com/en/products/detail/te-connectivity-linx/ADP-SMAF-SMAF-B-G/11314389</t>
  </si>
  <si>
    <t>18-8 Stainless Steel Socket Head Screw 4-40 Thread Size, 5/16" Long</t>
  </si>
  <si>
    <t>Top plates (4) &amp; 40K  (4) into bar stock</t>
  </si>
  <si>
    <t>https://www.ldsvacuumshopper.com/isshornip3.html</t>
  </si>
  <si>
    <t>92196A107</t>
  </si>
  <si>
    <t>SMA-SMA coax copper 0.047" - 150mm length</t>
  </si>
  <si>
    <t>https://www.mcmaster.com/92196A107/</t>
  </si>
  <si>
    <t>40k to 4k</t>
  </si>
  <si>
    <t>Koaxis</t>
  </si>
  <si>
    <t>AO10-KF047-AO10-150mm-MK</t>
  </si>
  <si>
    <t>https://koaxis.com/rf-cable-assembly/ao10-kf047-ao10-150mm/</t>
  </si>
  <si>
    <t>SMA-SMA coax copper 0.047" - 250mm length</t>
  </si>
  <si>
    <t>300k to 40k</t>
  </si>
  <si>
    <t>AO10-KF047-AO10-250mm-MK</t>
  </si>
  <si>
    <t>https://koaxis.com/rf-cable-assembly/ao10-kf047-ao10-250mm/</t>
  </si>
  <si>
    <t>Belleville Disc Spring for 1/8" Shaft Diameter, 0.125" ID, 0.25" OD, 0.0130" Thick</t>
  </si>
  <si>
    <t xml:space="preserve">Top 40K plates (4) &amp; Bottom 40K  (4) into bar stock = 8 *5 Top 4K plates (4) and Bottom 4K plates (4) = 8 * 5. Total is 40  (40K) + 40 (4K) = 80 </t>
  </si>
  <si>
    <t>9712K54</t>
  </si>
  <si>
    <t>https://www.mcmaster.com/9712K54/</t>
  </si>
  <si>
    <t>SMA-SMA stainless semirigid 100mm loop 0.085"</t>
  </si>
  <si>
    <t>Intelliconnect CryoCoax</t>
  </si>
  <si>
    <t>Aluminum Socket Head Screw M4 x 0.7 mm Thread, 16 mm Long</t>
  </si>
  <si>
    <t>SMA-SMA stainless semirigid 100mm straight 0.085"</t>
  </si>
  <si>
    <t>Cold Heads. Long enough to accomidate sandwhich cold straps. Total is 8 + 6 = 14</t>
  </si>
  <si>
    <t>300k</t>
  </si>
  <si>
    <t>UNKNOWN</t>
  </si>
  <si>
    <t>98511A743</t>
  </si>
  <si>
    <t>https://www.mcmaster.com/98511A743/</t>
  </si>
  <si>
    <t>8020 Frame</t>
  </si>
  <si>
    <t>Cold strap plates to 40K and 4K cold head. 4 (40K) + 8 (4K) = total of 12</t>
  </si>
  <si>
    <t>1/4-20 screw 2-3/8" Long</t>
  </si>
  <si>
    <t>frame</t>
  </si>
  <si>
    <t>92196A191</t>
  </si>
  <si>
    <t>https://www.mcmaster.com/92196A191/</t>
  </si>
  <si>
    <t>https://www.mcmaster.com/92196A306/</t>
  </si>
  <si>
    <t>18-8 Stainless Steel Socket Head Screw 6-32 Thread Size, 5/8" Long</t>
  </si>
  <si>
    <t>Require 12 to fasten 1K stage to 4K stage. Also require12 for 4K heat strap</t>
  </si>
  <si>
    <t>92196A150</t>
  </si>
  <si>
    <t>1/4-20 oversize washers</t>
  </si>
  <si>
    <t>https://www.mcmaster.com/92196A150/</t>
  </si>
  <si>
    <t>https://www.mcmaster.com/98370A028/</t>
  </si>
  <si>
    <t>1/4-20 threaded rod 1-3/8" long</t>
  </si>
  <si>
    <t>https://www.mcmaster.com/95412A903/</t>
  </si>
  <si>
    <t>303 Stainless Steel Knurled Knob with 10-24 Threaded Hole, 3/8" Deep, 3/4" Diameter Head</t>
  </si>
  <si>
    <t>40K Walls (Knobs are $6.61 for 10 or more)</t>
  </si>
  <si>
    <t>60205K64</t>
  </si>
  <si>
    <t>https://www.mcmaster.com/60205K64/</t>
  </si>
  <si>
    <t>1/4-20 threaded rod 1-1/4" long</t>
  </si>
  <si>
    <t>https://www.mcmaster.com/95412A544/</t>
  </si>
  <si>
    <t>18-8 Stainless Steel Socket Head Screw 10-24 Thread Size, 3/8" Long</t>
  </si>
  <si>
    <t>40K wall knobs</t>
  </si>
  <si>
    <t>92196A240</t>
  </si>
  <si>
    <t>https://www.mcmaster.com/92196A240/</t>
  </si>
  <si>
    <t>3-4 Weeks</t>
  </si>
  <si>
    <t>8-10 weeks</t>
  </si>
  <si>
    <t xml:space="preserve"> Stainless Steel Raised Knurled-Head Thumb Screw 4-40 Thread Size, 1/4" Long, 3/8" Diameter Head</t>
  </si>
  <si>
    <t>4K walls</t>
  </si>
  <si>
    <t>$2049.45 for 3so probably $2300+</t>
  </si>
  <si>
    <t>3 Weeks</t>
  </si>
  <si>
    <t>$1946 (?)</t>
  </si>
  <si>
    <t>3 weeks</t>
  </si>
  <si>
    <t>Base Price $1332 for three so probably $1500 single</t>
  </si>
  <si>
    <t>ISO-320 Full Nipple</t>
  </si>
  <si>
    <t>Nor Cal</t>
  </si>
  <si>
    <t>High Vac comp</t>
  </si>
  <si>
    <t>LDS</t>
  </si>
  <si>
    <t>ancorp</t>
  </si>
  <si>
    <t>hisoregon</t>
  </si>
  <si>
    <t>Total:</t>
  </si>
  <si>
    <t>Belleville Spring Lock Washer 17-7 PH Stainless Steel, for Number 6 Screw Size, 0.143" ID, 0.341" OD</t>
  </si>
  <si>
    <t>SW210601</t>
  </si>
  <si>
    <t>91235A102</t>
  </si>
  <si>
    <t>Sae Woo Home</t>
  </si>
  <si>
    <t>https://www.mcmaster.com/91235a102/</t>
  </si>
  <si>
    <t>Stainless Steel Raised Knurled-Head Thumb Screw 4-40 Thread Size, 1/4" Long, 3/8" Diameter Head</t>
  </si>
  <si>
    <t>4K knobs</t>
  </si>
  <si>
    <t>91830A101</t>
  </si>
  <si>
    <t>https://www.mcmaster.com/91830A101/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</si>
</sst>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$&quot;#,##0"/>
    <numFmt numFmtId="165" formatCode="&quot;$&quot;#,##0.00"/>
    <numFmt numFmtId="166" formatCode="&quot;$&quot;#,##0_);[Red]\(&quot;$&quot;#,##0\)"/>
    <numFmt numFmtId="167" formatCode="m/d/yy"/>
    <numFmt numFmtId="168" formatCode="&quot;$&quot;#,##0.00_);[Red]\(&quot;$&quot;#,##0.00\)"/>
  </numFmts>
  <fonts count="33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rgb="FF000000"/>
      <name val="Arial"/>
    </font>
    <font>
      <b/>
      <sz val="10.0"/>
      <color rgb="FF343434"/>
      <name val="Arial"/>
    </font>
    <font>
      <b/>
      <sz val="10.0"/>
      <color rgb="FF000000"/>
      <name val="Arial"/>
    </font>
    <font>
      <sz val="10.0"/>
      <color theme="1"/>
      <name val="Arial"/>
    </font>
    <font>
      <u/>
      <sz val="10.0"/>
      <color theme="10"/>
      <name val="Arial"/>
    </font>
    <font>
      <u/>
      <sz val="10.0"/>
      <color theme="10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sz val="10.0"/>
      <color rgb="FF000000"/>
      <name val="Quattrocento Sans"/>
    </font>
    <font>
      <u/>
      <sz val="10.0"/>
      <color rgb="FF0000FF"/>
      <name val="Arial"/>
    </font>
    <font>
      <b/>
      <sz val="13.0"/>
      <color theme="1"/>
      <name val="Arial"/>
    </font>
    <font>
      <sz val="10.0"/>
      <color rgb="FF333333"/>
      <name val="Arial"/>
    </font>
    <font>
      <u/>
      <sz val="10.0"/>
      <color rgb="FF0000FF"/>
      <name val="Arial"/>
    </font>
    <font>
      <sz val="9.0"/>
      <color rgb="FF333333"/>
      <name val="Arial"/>
    </font>
    <font>
      <b/>
      <u/>
      <sz val="10.0"/>
      <color rgb="FF000000"/>
      <name val="Arial"/>
    </font>
    <font>
      <u/>
      <sz val="10.0"/>
      <color rgb="FF1155CC"/>
      <name val="Arial"/>
    </font>
    <font>
      <b/>
      <u/>
      <sz val="10.0"/>
      <color rgb="FF000000"/>
      <name val="Arial"/>
    </font>
    <font>
      <sz val="9.0"/>
      <color rgb="FF333333"/>
      <name val="Helvetica Neue"/>
    </font>
    <font>
      <u/>
      <sz val="10.0"/>
      <color rgb="FF000000"/>
      <name val="Arial"/>
    </font>
    <font>
      <u/>
      <sz val="10.0"/>
      <color rgb="FF1155CC"/>
      <name val="Arial"/>
    </font>
    <font>
      <sz val="9.0"/>
      <color rgb="FF000000"/>
      <name val="Arial"/>
    </font>
    <font>
      <sz val="10.0"/>
      <color theme="10"/>
      <name val="Arial"/>
    </font>
    <font>
      <sz val="12.0"/>
      <color rgb="FF000000"/>
      <name val="Calibri"/>
    </font>
    <font>
      <u/>
      <sz val="10.0"/>
      <color rgb="FF1155CC"/>
      <name val="Arial"/>
    </font>
    <font>
      <sz val="9.0"/>
      <color rgb="FF000000"/>
      <name val="Google Sans"/>
    </font>
    <font>
      <sz val="10.0"/>
      <color rgb="FF1B1B1B"/>
      <name val="Arial"/>
    </font>
    <font>
      <u/>
      <sz val="10.0"/>
      <color rgb="FF0000FF"/>
      <name val="Arial"/>
    </font>
    <font>
      <sz val="10.0"/>
      <color rgb="FF000000"/>
      <name val="Roboto"/>
    </font>
    <font>
      <sz val="12.0"/>
      <color rgb="FF333333"/>
      <name val="Calibri"/>
    </font>
    <font>
      <u/>
      <sz val="10.0"/>
      <color rgb="FF1155CC"/>
      <name val="Arial"/>
    </font>
    <font>
      <u/>
      <sz val="10.0"/>
      <color rgb="FF0000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</fills>
  <borders count="5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Border="1" applyFont="1"/>
    <xf borderId="1" fillId="0" fontId="2" numFmtId="164" xfId="0" applyBorder="1" applyFont="1" applyNumberFormat="1"/>
    <xf borderId="2" fillId="2" fontId="1" numFmtId="0" xfId="0" applyBorder="1" applyFill="1" applyFont="1"/>
    <xf borderId="0" fillId="0" fontId="3" numFmtId="0" xfId="0" applyFont="1"/>
    <xf borderId="1" fillId="2" fontId="2" numFmtId="0" xfId="0" applyBorder="1" applyFill="1" applyFont="1"/>
    <xf borderId="0" fillId="0" fontId="1" numFmtId="14" xfId="0" applyFont="1" applyNumberFormat="1"/>
    <xf borderId="1" fillId="0" fontId="4" numFmtId="0" xfId="0" applyBorder="1" applyFont="1"/>
    <xf borderId="0" fillId="0" fontId="2" numFmtId="0" xfId="0" applyFont="1"/>
    <xf borderId="3" fillId="3" fontId="5" numFmtId="0" xfId="0" applyAlignment="1" applyBorder="1" applyFill="1" applyFont="1">
      <alignment shrinkToFit="0" wrapText="1"/>
    </xf>
    <xf borderId="1" fillId="0" fontId="2" numFmtId="0" xfId="0" applyAlignment="1" applyBorder="1" applyFont="1">
      <alignment horizontal="right"/>
    </xf>
    <xf borderId="3" fillId="0" fontId="5" numFmtId="0" xfId="0" applyAlignment="1" applyBorder="1" applyFont="1">
      <alignment horizontal="left" shrinkToFit="0" wrapText="1"/>
    </xf>
    <xf borderId="3" fillId="3" fontId="5" numFmtId="164" xfId="0" applyAlignment="1" applyBorder="1" applyFill="1" applyFont="1" applyNumberFormat="1">
      <alignment shrinkToFit="0" wrapText="1"/>
    </xf>
    <xf borderId="1" fillId="0" fontId="2" numFmtId="164" xfId="0" applyAlignment="1" applyBorder="1" applyFont="1" applyNumberFormat="1">
      <alignment horizontal="right"/>
    </xf>
    <xf borderId="3" fillId="0" fontId="5" numFmtId="0" xfId="0" applyAlignment="1" applyBorder="1" applyFont="1">
      <alignment shrinkToFit="0" wrapText="1"/>
    </xf>
    <xf borderId="3" fillId="0" fontId="5" numFmtId="165" xfId="0" applyAlignment="1" applyBorder="1" applyFont="1" applyNumberFormat="1">
      <alignment shrinkToFit="0" wrapText="1"/>
    </xf>
    <xf borderId="1" fillId="2" fontId="6" numFmtId="0" xfId="0" applyBorder="1" applyFill="1" applyFont="1"/>
    <xf borderId="1" fillId="0" fontId="7" numFmtId="0" xfId="0" applyBorder="1" applyFont="1"/>
    <xf borderId="3" fillId="0" fontId="8" numFmtId="0" xfId="0" applyBorder="1" applyFont="1"/>
    <xf borderId="3" fillId="3" fontId="9" numFmtId="0" xfId="0" applyBorder="1" applyFill="1" applyFont="1"/>
    <xf borderId="3" fillId="0" fontId="5" numFmtId="0" xfId="0" applyBorder="1" applyFont="1"/>
    <xf borderId="3" fillId="3" fontId="5" numFmtId="0" xfId="0" applyBorder="1" applyFill="1" applyFont="1"/>
    <xf borderId="1" fillId="0" fontId="2" numFmtId="166" xfId="0" applyAlignment="1" applyBorder="1" applyFont="1" applyNumberFormat="1">
      <alignment horizontal="right"/>
    </xf>
    <xf borderId="1" fillId="0" fontId="2" numFmtId="0" xfId="0" applyAlignment="1" applyBorder="1" applyFont="1">
      <alignment horizontal="center"/>
    </xf>
    <xf borderId="3" fillId="3" fontId="5" numFmtId="164" xfId="0" applyBorder="1" applyFill="1" applyFont="1" applyNumberFormat="1"/>
    <xf borderId="3" fillId="0" fontId="5" numFmtId="165" xfId="0" applyBorder="1" applyFont="1" applyNumberFormat="1"/>
    <xf borderId="1" fillId="2" fontId="10" numFmtId="15" xfId="0" applyAlignment="1" applyBorder="1" applyFill="1" applyFont="1" applyNumberFormat="1">
      <alignment horizontal="right"/>
    </xf>
    <xf borderId="3" fillId="3" fontId="2" numFmtId="164" xfId="0" applyBorder="1" applyFill="1" applyFont="1" applyNumberFormat="1"/>
    <xf borderId="0" fillId="0" fontId="5" numFmtId="0" xfId="0" applyFont="1"/>
    <xf borderId="3" fillId="0" fontId="2" numFmtId="165" xfId="0" applyBorder="1" applyFont="1" applyNumberFormat="1"/>
    <xf borderId="0" fillId="0" fontId="5" numFmtId="14" xfId="0" applyFont="1" applyNumberFormat="1"/>
    <xf borderId="0" fillId="0" fontId="5" numFmtId="167" xfId="0" applyFont="1" applyNumberFormat="1"/>
    <xf borderId="0" fillId="0" fontId="5" numFmtId="164" xfId="0" applyFont="1" applyNumberFormat="1"/>
    <xf borderId="3" fillId="3" fontId="5" numFmtId="0" xfId="0" applyAlignment="1" applyBorder="1" applyFill="1" applyFont="1">
      <alignment horizontal="left" shrinkToFit="0" wrapText="1"/>
    </xf>
    <xf borderId="3" fillId="3" fontId="5" numFmtId="165" xfId="0" applyAlignment="1" applyBorder="1" applyFill="1" applyFont="1" applyNumberFormat="1">
      <alignment shrinkToFit="0" wrapText="1"/>
    </xf>
    <xf borderId="0" fillId="0" fontId="5" numFmtId="165" xfId="0" applyFont="1" applyNumberFormat="1"/>
    <xf borderId="3" fillId="3" fontId="2" numFmtId="0" xfId="0" applyAlignment="1" applyBorder="1" applyFill="1" applyFont="1">
      <alignment horizontal="left" shrinkToFit="0" wrapText="1"/>
    </xf>
    <xf borderId="3" fillId="3" fontId="5" numFmtId="165" xfId="0" applyBorder="1" applyFill="1" applyFont="1" applyNumberFormat="1"/>
    <xf borderId="3" fillId="0" fontId="2" numFmtId="0" xfId="0" applyAlignment="1" applyBorder="1" applyFont="1">
      <alignment shrinkToFit="0" wrapText="1"/>
    </xf>
    <xf borderId="3" fillId="0" fontId="11" numFmtId="0" xfId="0" applyAlignment="1" applyBorder="1" applyFont="1">
      <alignment shrinkToFit="0" wrapText="1"/>
    </xf>
    <xf borderId="2" fillId="2" fontId="2" numFmtId="0" xfId="0" applyBorder="1" applyFill="1" applyFont="1"/>
    <xf borderId="0" fillId="0" fontId="12" numFmtId="0" xfId="0" applyAlignment="1" applyFont="1">
      <alignment shrinkToFit="0" wrapText="1"/>
    </xf>
    <xf borderId="3" fillId="4" fontId="5" numFmtId="0" xfId="0" applyAlignment="1" applyBorder="1" applyFill="1" applyFont="1">
      <alignment horizontal="left" shrinkToFit="0" wrapText="1"/>
    </xf>
    <xf borderId="3" fillId="4" fontId="5" numFmtId="0" xfId="0" applyAlignment="1" applyBorder="1" applyFill="1" applyFont="1">
      <alignment shrinkToFit="0" wrapText="1"/>
    </xf>
    <xf borderId="3" fillId="4" fontId="5" numFmtId="165" xfId="0" applyAlignment="1" applyBorder="1" applyFill="1" applyFont="1" applyNumberFormat="1">
      <alignment shrinkToFit="0" wrapText="1"/>
    </xf>
    <xf borderId="3" fillId="0" fontId="13" numFmtId="0" xfId="0" applyAlignment="1" applyBorder="1" applyFont="1">
      <alignment shrinkToFit="0" wrapText="1"/>
    </xf>
    <xf borderId="3" fillId="4" fontId="14" numFmtId="0" xfId="0" applyBorder="1" applyFill="1" applyFont="1"/>
    <xf borderId="3" fillId="4" fontId="5" numFmtId="0" xfId="0" applyBorder="1" applyFill="1" applyFont="1"/>
    <xf borderId="3" fillId="4" fontId="5" numFmtId="165" xfId="0" applyBorder="1" applyFill="1" applyFont="1" applyNumberFormat="1"/>
    <xf borderId="3" fillId="4" fontId="2" numFmtId="164" xfId="0" applyBorder="1" applyFill="1" applyFont="1" applyNumberFormat="1"/>
    <xf borderId="3" fillId="0" fontId="2" numFmtId="0" xfId="0" applyAlignment="1" applyBorder="1" applyFont="1">
      <alignment horizontal="left" shrinkToFit="0" wrapText="1"/>
    </xf>
    <xf borderId="1" fillId="2" fontId="15" numFmtId="0" xfId="0" applyBorder="1" applyFill="1" applyFont="1"/>
    <xf borderId="1" fillId="0" fontId="2" numFmtId="14" xfId="0" applyBorder="1" applyFont="1" applyNumberFormat="1"/>
    <xf borderId="3" fillId="4" fontId="2" numFmtId="0" xfId="0" applyAlignment="1" applyBorder="1" applyFill="1" applyFont="1">
      <alignment shrinkToFit="0" wrapText="1"/>
    </xf>
    <xf borderId="1" fillId="0" fontId="16" numFmtId="0" xfId="0" applyAlignment="1" applyBorder="1" applyFont="1">
      <alignment horizontal="center"/>
    </xf>
    <xf borderId="4" fillId="0" fontId="2" numFmtId="0" xfId="0" applyBorder="1" applyFont="1"/>
    <xf borderId="3" fillId="0" fontId="5" numFmtId="165" xfId="0" applyAlignment="1" applyBorder="1" applyFont="1" applyNumberFormat="1">
      <alignment horizontal="right" shrinkToFit="0" wrapText="1"/>
    </xf>
    <xf borderId="3" fillId="0" fontId="17" numFmtId="0" xfId="0" applyAlignment="1" applyBorder="1" applyFont="1">
      <alignment shrinkToFit="0" wrapText="1"/>
    </xf>
    <xf borderId="4" fillId="0" fontId="2" numFmtId="0" xfId="0" applyAlignment="1" applyBorder="1" applyFont="1">
      <alignment horizontal="right"/>
    </xf>
    <xf borderId="0" fillId="0" fontId="2" numFmtId="164" xfId="0" applyFont="1" applyNumberFormat="1"/>
    <xf borderId="3" fillId="4" fontId="13" numFmtId="0" xfId="0" applyAlignment="1" applyBorder="1" applyFill="1" applyFont="1">
      <alignment shrinkToFit="0" wrapText="1"/>
    </xf>
    <xf borderId="3" fillId="0" fontId="13" numFmtId="0" xfId="0" applyAlignment="1" applyBorder="1" applyFont="1">
      <alignment horizontal="left" shrinkToFit="0" wrapText="1"/>
    </xf>
    <xf borderId="1" fillId="0" fontId="2" numFmtId="168" xfId="0" applyAlignment="1" applyBorder="1" applyFont="1" applyNumberFormat="1">
      <alignment horizontal="right"/>
    </xf>
    <xf borderId="1" fillId="0" fontId="18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/>
    </xf>
    <xf borderId="3" fillId="0" fontId="19" numFmtId="0" xfId="0" applyBorder="1" applyFont="1"/>
    <xf borderId="1" fillId="0" fontId="2" numFmtId="0" xfId="0" applyAlignment="1" applyBorder="1" applyFont="1">
      <alignment horizontal="right" readingOrder="0"/>
    </xf>
    <xf borderId="1" fillId="0" fontId="2" numFmtId="164" xfId="0" applyAlignment="1" applyBorder="1" applyFont="1" applyNumberFormat="1">
      <alignment readingOrder="0"/>
    </xf>
    <xf borderId="3" fillId="4" fontId="2" numFmtId="0" xfId="0" applyAlignment="1" applyBorder="1" applyFill="1" applyFont="1">
      <alignment horizontal="left" shrinkToFit="0" wrapText="1"/>
    </xf>
    <xf borderId="1" fillId="0" fontId="20" numFmtId="0" xfId="0" applyAlignment="1" applyBorder="1" applyFont="1">
      <alignment readingOrder="0"/>
    </xf>
    <xf borderId="0" fillId="0" fontId="19" numFmtId="0" xfId="0" applyFont="1"/>
    <xf borderId="3" fillId="0" fontId="13" numFmtId="165" xfId="0" applyAlignment="1" applyBorder="1" applyFont="1" applyNumberFormat="1">
      <alignment shrinkToFit="0" wrapText="1"/>
    </xf>
    <xf borderId="3" fillId="0" fontId="15" numFmtId="0" xfId="0" applyBorder="1" applyFont="1"/>
    <xf borderId="3" fillId="0" fontId="21" numFmtId="0" xfId="0" applyAlignment="1" applyBorder="1" applyFont="1">
      <alignment horizontal="left" shrinkToFit="0" wrapText="1"/>
    </xf>
    <xf borderId="1" fillId="2" fontId="22" numFmtId="0" xfId="0" applyBorder="1" applyFill="1" applyFont="1"/>
    <xf borderId="1" fillId="0" fontId="23" numFmtId="0" xfId="0" applyBorder="1" applyFont="1"/>
    <xf borderId="1" fillId="2" fontId="24" numFmtId="15" xfId="0" applyAlignment="1" applyBorder="1" applyFill="1" applyFont="1" applyNumberFormat="1">
      <alignment horizontal="right"/>
    </xf>
    <xf borderId="1" fillId="2" fontId="22" numFmtId="168" xfId="0" applyAlignment="1" applyBorder="1" applyFill="1" applyFont="1" applyNumberFormat="1">
      <alignment horizontal="right" vertical="top"/>
    </xf>
    <xf borderId="1" fillId="0" fontId="2" numFmtId="15" xfId="0" applyAlignment="1" applyBorder="1" applyFont="1" applyNumberFormat="1">
      <alignment horizontal="right"/>
    </xf>
    <xf borderId="1" fillId="2" fontId="22" numFmtId="166" xfId="0" applyAlignment="1" applyBorder="1" applyFill="1" applyFont="1" applyNumberFormat="1">
      <alignment horizontal="right" vertical="top"/>
    </xf>
    <xf borderId="3" fillId="4" fontId="5" numFmtId="165" xfId="0" applyAlignment="1" applyBorder="1" applyFill="1" applyFont="1" applyNumberFormat="1">
      <alignment horizontal="right" shrinkToFit="0" wrapText="1"/>
    </xf>
    <xf borderId="0" fillId="0" fontId="19" numFmtId="0" xfId="0" applyAlignment="1" applyFont="1">
      <alignment horizontal="right"/>
    </xf>
    <xf borderId="3" fillId="0" fontId="2" numFmtId="0" xfId="0" applyBorder="1" applyFont="1"/>
    <xf borderId="3" fillId="4" fontId="25" numFmtId="0" xfId="0" applyBorder="1" applyFill="1" applyFont="1"/>
    <xf borderId="3" fillId="0" fontId="26" numFmtId="0" xfId="0" applyAlignment="1" applyBorder="1" applyFont="1">
      <alignment shrinkToFit="0" wrapText="1"/>
    </xf>
    <xf borderId="1" fillId="0" fontId="2" numFmtId="14" xfId="0" applyAlignment="1" applyBorder="1" applyFont="1" applyNumberFormat="1">
      <alignment horizontal="right"/>
    </xf>
    <xf borderId="3" fillId="0" fontId="5" numFmtId="0" xfId="0" applyAlignment="1" applyBorder="1" applyFont="1">
      <alignment horizontal="right"/>
    </xf>
    <xf borderId="3" fillId="0" fontId="5" numFmtId="165" xfId="0" applyAlignment="1" applyBorder="1" applyFont="1" applyNumberFormat="1">
      <alignment horizontal="right"/>
    </xf>
    <xf borderId="0" fillId="0" fontId="5" numFmtId="0" xfId="0" applyAlignment="1" applyFont="1">
      <alignment shrinkToFit="0" wrapText="1"/>
    </xf>
    <xf borderId="0" fillId="0" fontId="26" numFmtId="0" xfId="0" applyFont="1"/>
    <xf borderId="3" fillId="4" fontId="13" numFmtId="0" xfId="0" applyAlignment="1" applyBorder="1" applyFill="1" applyFont="1">
      <alignment horizontal="left" shrinkToFit="0" wrapText="1"/>
    </xf>
    <xf borderId="1" fillId="0" fontId="27" numFmtId="164" xfId="0" applyBorder="1" applyFont="1" applyNumberFormat="1"/>
    <xf borderId="2" fillId="2" fontId="22" numFmtId="165" xfId="0" applyAlignment="1" applyBorder="1" applyFill="1" applyFont="1" applyNumberFormat="1">
      <alignment horizontal="right" vertical="top"/>
    </xf>
    <xf borderId="2" fillId="2" fontId="22" numFmtId="164" xfId="0" applyAlignment="1" applyBorder="1" applyFill="1" applyFont="1" applyNumberFormat="1">
      <alignment horizontal="right" vertical="top"/>
    </xf>
    <xf borderId="1" fillId="2" fontId="19" numFmtId="0" xfId="0" applyBorder="1" applyFill="1" applyFont="1"/>
    <xf borderId="3" fillId="4" fontId="19" numFmtId="0" xfId="0" applyBorder="1" applyFill="1" applyFont="1"/>
    <xf borderId="2" fillId="2" fontId="5" numFmtId="0" xfId="0" applyBorder="1" applyFill="1" applyFont="1"/>
    <xf borderId="2" fillId="3" fontId="5" numFmtId="0" xfId="0" applyBorder="1" applyFill="1" applyFont="1"/>
    <xf borderId="3" fillId="4" fontId="28" numFmtId="0" xfId="0" applyAlignment="1" applyBorder="1" applyFill="1" applyFont="1">
      <alignment shrinkToFit="0" wrapText="1"/>
    </xf>
    <xf borderId="2" fillId="4" fontId="19" numFmtId="0" xfId="0" applyBorder="1" applyFill="1" applyFont="1"/>
    <xf borderId="2" fillId="2" fontId="26" numFmtId="0" xfId="0" applyBorder="1" applyFill="1" applyFont="1"/>
    <xf borderId="3" fillId="4" fontId="13" numFmtId="165" xfId="0" applyAlignment="1" applyBorder="1" applyFill="1" applyFont="1" applyNumberFormat="1">
      <alignment shrinkToFit="0" wrapText="1"/>
    </xf>
    <xf borderId="3" fillId="4" fontId="15" numFmtId="0" xfId="0" applyBorder="1" applyFill="1" applyFont="1"/>
    <xf borderId="1" fillId="2" fontId="15" numFmtId="164" xfId="0" applyAlignment="1" applyBorder="1" applyFill="1" applyFont="1" applyNumberFormat="1">
      <alignment horizontal="right"/>
    </xf>
    <xf borderId="1" fillId="0" fontId="29" numFmtId="0" xfId="0" applyBorder="1" applyFont="1"/>
    <xf borderId="1" fillId="2" fontId="30" numFmtId="0" xfId="0" applyBorder="1" applyFill="1" applyFont="1"/>
    <xf borderId="3" fillId="4" fontId="31" numFmtId="0" xfId="0" applyAlignment="1" applyBorder="1" applyFill="1" applyFont="1">
      <alignment horizontal="left"/>
    </xf>
    <xf borderId="1" fillId="2" fontId="23" numFmtId="0" xfId="0" applyBorder="1" applyFill="1" applyFont="1"/>
    <xf borderId="3" fillId="2" fontId="19" numFmtId="0" xfId="0" applyBorder="1" applyFill="1" applyFont="1"/>
    <xf borderId="3" fillId="0" fontId="2" numFmtId="164" xfId="0" applyBorder="1" applyFont="1" applyNumberFormat="1"/>
    <xf borderId="3" fillId="0" fontId="32" numFmtId="0" xfId="0" applyAlignment="1" applyBorder="1" applyFont="1">
      <alignment horizontal="right"/>
    </xf>
    <xf borderId="2" fillId="3" fontId="5" numFmtId="164" xfId="0" applyBorder="1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mcmaster.com/91292A129/" TargetMode="External"/><Relationship Id="rId10" Type="http://schemas.openxmlformats.org/officeDocument/2006/relationships/hyperlink" Target="https://www.ldsvacuumshopper.com/qfbulclam1.html" TargetMode="External"/><Relationship Id="rId13" Type="http://schemas.openxmlformats.org/officeDocument/2006/relationships/hyperlink" Target="https://www.mcmaster.com/92196A306/" TargetMode="External"/><Relationship Id="rId12" Type="http://schemas.openxmlformats.org/officeDocument/2006/relationships/hyperlink" Target="https://koaxis.com/rf-cable-assembly/ao10-kf047-ao10-250mm/" TargetMode="External"/><Relationship Id="rId1" Type="http://schemas.openxmlformats.org/officeDocument/2006/relationships/hyperlink" Target="https://www.hubs.com/" TargetMode="External"/><Relationship Id="rId2" Type="http://schemas.openxmlformats.org/officeDocument/2006/relationships/hyperlink" Target="https://www.ldsvacuumshopper.com/lf400and500s.html" TargetMode="External"/><Relationship Id="rId3" Type="http://schemas.openxmlformats.org/officeDocument/2006/relationships/hyperlink" Target="https://www.ldsvacuumshopper.com/isalbl9.html" TargetMode="External"/><Relationship Id="rId4" Type="http://schemas.openxmlformats.org/officeDocument/2006/relationships/hyperlink" Target="https://www.ldsvacuumshopper.com/lfalcenrinwi.html" TargetMode="External"/><Relationship Id="rId9" Type="http://schemas.openxmlformats.org/officeDocument/2006/relationships/hyperlink" Target="https://www.ldsvacuumshopper.com/qfstainblan.html" TargetMode="External"/><Relationship Id="rId15" Type="http://schemas.openxmlformats.org/officeDocument/2006/relationships/hyperlink" Target="https://www.mcmaster.com/95412A903/" TargetMode="External"/><Relationship Id="rId14" Type="http://schemas.openxmlformats.org/officeDocument/2006/relationships/hyperlink" Target="https://www.mcmaster.com/98370A028/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www.mcmaster.com/95412A544/" TargetMode="External"/><Relationship Id="rId5" Type="http://schemas.openxmlformats.org/officeDocument/2006/relationships/hyperlink" Target="https://www.ldsvacuumshopper.com/qfstainblan2.html" TargetMode="External"/><Relationship Id="rId6" Type="http://schemas.openxmlformats.org/officeDocument/2006/relationships/hyperlink" Target="https://www.ldsvacuumshopper.com/nwbucl3.html" TargetMode="External"/><Relationship Id="rId7" Type="http://schemas.openxmlformats.org/officeDocument/2006/relationships/hyperlink" Target="https://www.ldsvacuumshopper.com/qfstainblan1.html" TargetMode="External"/><Relationship Id="rId8" Type="http://schemas.openxmlformats.org/officeDocument/2006/relationships/hyperlink" Target="https://www.ldsvacuumshopper.com/nwbucl2.html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mcmaster.com/92196A105/" TargetMode="External"/><Relationship Id="rId22" Type="http://schemas.openxmlformats.org/officeDocument/2006/relationships/hyperlink" Target="https://www.mcmaster.com/9712K54/" TargetMode="External"/><Relationship Id="rId21" Type="http://schemas.openxmlformats.org/officeDocument/2006/relationships/hyperlink" Target="https://www.mcmaster.com/92196A107/" TargetMode="External"/><Relationship Id="rId24" Type="http://schemas.openxmlformats.org/officeDocument/2006/relationships/hyperlink" Target="https://www.mcmaster.com/92196A191/" TargetMode="External"/><Relationship Id="rId23" Type="http://schemas.openxmlformats.org/officeDocument/2006/relationships/hyperlink" Target="https://www.mcmaster.com/98511A743/" TargetMode="External"/><Relationship Id="rId1" Type="http://schemas.openxmlformats.org/officeDocument/2006/relationships/hyperlink" Target="https://www.idealvac.com/en-us/Ideal-Vacuum-Cube-9x9x9-in-Vacuum-Chamber-Frame-6061-T6-Aluminum-Alloy/pp/P109589" TargetMode="External"/><Relationship Id="rId2" Type="http://schemas.openxmlformats.org/officeDocument/2006/relationships/hyperlink" Target="https://www.idealvac.com/Ideal-Vacuum-Cube-Hardware-Kit/pp/P109824" TargetMode="External"/><Relationship Id="rId3" Type="http://schemas.openxmlformats.org/officeDocument/2006/relationships/hyperlink" Target="https://www.idealvac.com/Ideal-Vacuum-Cube-Plate-Maintenance-and-Service-Tool-Kit/pp/P1010554" TargetMode="External"/><Relationship Id="rId4" Type="http://schemas.openxmlformats.org/officeDocument/2006/relationships/hyperlink" Target="https://www.idealvac.com/Ideal-Vacuum-Cube/pp/P1012249" TargetMode="External"/><Relationship Id="rId9" Type="http://schemas.openxmlformats.org/officeDocument/2006/relationships/hyperlink" Target="https://www.idealvac.com/Ideal-Vacuum-Cube/pp/P109595" TargetMode="External"/><Relationship Id="rId26" Type="http://schemas.openxmlformats.org/officeDocument/2006/relationships/hyperlink" Target="https://www.mcmaster.com/60205K64/" TargetMode="External"/><Relationship Id="rId25" Type="http://schemas.openxmlformats.org/officeDocument/2006/relationships/hyperlink" Target="https://www.mcmaster.com/92196A150/" TargetMode="External"/><Relationship Id="rId28" Type="http://schemas.openxmlformats.org/officeDocument/2006/relationships/hyperlink" Target="https://www.mcmaster.com/60205K64/" TargetMode="External"/><Relationship Id="rId27" Type="http://schemas.openxmlformats.org/officeDocument/2006/relationships/hyperlink" Target="https://www.mcmaster.com/92196A240/" TargetMode="External"/><Relationship Id="rId5" Type="http://schemas.openxmlformats.org/officeDocument/2006/relationships/hyperlink" Target="https://www.idealvac.com/ISO-160-Centering-Ring-Aluminum-with-Viton-O-Ring-NW-160-Vacuum-Flange-Size-Typically-Used-with-6-Inch-OD-(1524-mm)-Tubing/pp/P101769" TargetMode="External"/><Relationship Id="rId6" Type="http://schemas.openxmlformats.org/officeDocument/2006/relationships/hyperlink" Target="https://www.idealvac.com/en-us/Ideal-Vacuum-Cube/pp/P1012389" TargetMode="External"/><Relationship Id="rId29" Type="http://schemas.openxmlformats.org/officeDocument/2006/relationships/hyperlink" Target="https://www.mcmaster.com/91235a102/" TargetMode="External"/><Relationship Id="rId7" Type="http://schemas.openxmlformats.org/officeDocument/2006/relationships/hyperlink" Target="https://www.idealvac.com/Ideal-Vacuum-Cube-9x9-in-Vacuum-Chamber-Blank-Plate/pp/P109590" TargetMode="External"/><Relationship Id="rId8" Type="http://schemas.openxmlformats.org/officeDocument/2006/relationships/hyperlink" Target="https://www.idealvac.com/Ideal-Vacuum-Cube/pp/P1010939" TargetMode="External"/><Relationship Id="rId31" Type="http://schemas.openxmlformats.org/officeDocument/2006/relationships/drawing" Target="../drawings/drawing2.xml"/><Relationship Id="rId30" Type="http://schemas.openxmlformats.org/officeDocument/2006/relationships/hyperlink" Target="https://www.mcmaster.com/91830A101/" TargetMode="External"/><Relationship Id="rId11" Type="http://schemas.openxmlformats.org/officeDocument/2006/relationships/hyperlink" Target="https://www.idealvac.com/Ideal-Vacuum-Cube-Quick-Knob-Assembly/pp/P107936" TargetMode="External"/><Relationship Id="rId10" Type="http://schemas.openxmlformats.org/officeDocument/2006/relationships/hyperlink" Target="https://www.idealvac.com/Ideal-Vacuum-Cube-9x9-in-Vacuum-Chamber-Blank-Plate/pp/P109590" TargetMode="External"/><Relationship Id="rId13" Type="http://schemas.openxmlformats.org/officeDocument/2006/relationships/hyperlink" Target="https://www.lesker.com/newweb/flanges/hardware_iso_clamps.cfm?pgid=singleal" TargetMode="External"/><Relationship Id="rId12" Type="http://schemas.openxmlformats.org/officeDocument/2006/relationships/hyperlink" Target="https://www.ldsvacuumshopper.com/isshornip3.html" TargetMode="External"/><Relationship Id="rId15" Type="http://schemas.openxmlformats.org/officeDocument/2006/relationships/hyperlink" Target="https://www.mcmaster.com/9709K11/" TargetMode="External"/><Relationship Id="rId14" Type="http://schemas.openxmlformats.org/officeDocument/2006/relationships/hyperlink" Target="https://www.mcmaster.com/9464K69/" TargetMode="External"/><Relationship Id="rId17" Type="http://schemas.openxmlformats.org/officeDocument/2006/relationships/hyperlink" Target="https://www.mcmaster.com/92196A535/" TargetMode="External"/><Relationship Id="rId16" Type="http://schemas.openxmlformats.org/officeDocument/2006/relationships/hyperlink" Target="https://www.mcmaster.com/9712K15/" TargetMode="External"/><Relationship Id="rId19" Type="http://schemas.openxmlformats.org/officeDocument/2006/relationships/hyperlink" Target="https://www.mcmaster.com/92148A170/" TargetMode="External"/><Relationship Id="rId18" Type="http://schemas.openxmlformats.org/officeDocument/2006/relationships/hyperlink" Target="https://www.mcmaster.com/91292A128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mcmaster.com/92196A240/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mcmaster.com/60205K64/" TargetMode="External"/><Relationship Id="rId1" Type="http://schemas.openxmlformats.org/officeDocument/2006/relationships/hyperlink" Target="https://www.idealvac.com/Ideal-Vacuum-Cube/pp/P1010939" TargetMode="External"/><Relationship Id="rId2" Type="http://schemas.openxmlformats.org/officeDocument/2006/relationships/hyperlink" Target="https://www.idealvac.com/Ideal-Vacuum-Cube/pp/P109595" TargetMode="External"/><Relationship Id="rId3" Type="http://schemas.openxmlformats.org/officeDocument/2006/relationships/hyperlink" Target="https://www.idealvac.com/Ideal-Vacuum-Cube-9x9-in-Vacuum-Chamber-Blank-Plate/pp/P109590" TargetMode="External"/><Relationship Id="rId4" Type="http://schemas.openxmlformats.org/officeDocument/2006/relationships/hyperlink" Target="https://www.idealvac.com/Ideal-Vacuum-Cube-Quick-Knob-Assembly/pp/P107936" TargetMode="External"/><Relationship Id="rId9" Type="http://schemas.openxmlformats.org/officeDocument/2006/relationships/hyperlink" Target="https://www.mcmaster.com/9712K15/" TargetMode="External"/><Relationship Id="rId5" Type="http://schemas.openxmlformats.org/officeDocument/2006/relationships/hyperlink" Target="https://www.ldsnipplefabricator.com/" TargetMode="External"/><Relationship Id="rId6" Type="http://schemas.openxmlformats.org/officeDocument/2006/relationships/hyperlink" Target="https://www.lesker.com/newweb/flanges/hardware_iso_clamps.cfm?pgid=singleal" TargetMode="External"/><Relationship Id="rId7" Type="http://schemas.openxmlformats.org/officeDocument/2006/relationships/hyperlink" Target="https://www.mcmaster.com/9464K69/" TargetMode="External"/><Relationship Id="rId8" Type="http://schemas.openxmlformats.org/officeDocument/2006/relationships/hyperlink" Target="https://www.mcmaster.com/9709K11/" TargetMode="External"/><Relationship Id="rId11" Type="http://schemas.openxmlformats.org/officeDocument/2006/relationships/hyperlink" Target="https://www.mcmaster.com/91292A128" TargetMode="External"/><Relationship Id="rId10" Type="http://schemas.openxmlformats.org/officeDocument/2006/relationships/hyperlink" Target="https://www.mcmaster.com/92196A535/" TargetMode="External"/><Relationship Id="rId13" Type="http://schemas.openxmlformats.org/officeDocument/2006/relationships/hyperlink" Target="https://www.mcmaster.com/92196A105/" TargetMode="External"/><Relationship Id="rId12" Type="http://schemas.openxmlformats.org/officeDocument/2006/relationships/hyperlink" Target="https://www.mcmaster.com/92148A170/" TargetMode="External"/><Relationship Id="rId15" Type="http://schemas.openxmlformats.org/officeDocument/2006/relationships/hyperlink" Target="https://www.mcmaster.com/9712K54/" TargetMode="External"/><Relationship Id="rId14" Type="http://schemas.openxmlformats.org/officeDocument/2006/relationships/hyperlink" Target="https://www.mcmaster.com/92196A107/" TargetMode="External"/><Relationship Id="rId17" Type="http://schemas.openxmlformats.org/officeDocument/2006/relationships/hyperlink" Target="https://www.mcmaster.com/92196A191/" TargetMode="External"/><Relationship Id="rId16" Type="http://schemas.openxmlformats.org/officeDocument/2006/relationships/hyperlink" Target="https://www.mcmaster.com/98511A743/" TargetMode="External"/><Relationship Id="rId19" Type="http://schemas.openxmlformats.org/officeDocument/2006/relationships/hyperlink" Target="https://www.mcmaster.com/60205K64/" TargetMode="External"/><Relationship Id="rId18" Type="http://schemas.openxmlformats.org/officeDocument/2006/relationships/hyperlink" Target="https://www.mcmaster.com/92196A15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1.13"/>
    <col customWidth="1" min="2" max="2" width="10.5"/>
    <col customWidth="1" min="3" max="6" width="8.75"/>
    <col customWidth="1" min="7" max="7" width="17.63"/>
    <col customWidth="1" min="8" max="8" width="31.38"/>
    <col customWidth="1" min="9" max="9" width="13.75"/>
    <col customWidth="1" min="10" max="22" width="8.75"/>
    <col customWidth="1" min="23" max="26" width="8.63"/>
  </cols>
  <sheetData>
    <row r="1" ht="12.0" customHeight="1">
      <c r="A1" s="2" t="s">
        <v>0</v>
      </c>
      <c r="B1" s="2" t="s">
        <v>2</v>
      </c>
      <c r="C1" s="2" t="s">
        <v>5</v>
      </c>
      <c r="D1" s="3" t="s">
        <v>3</v>
      </c>
      <c r="E1" s="2" t="s">
        <v>4</v>
      </c>
      <c r="F1" s="2" t="s">
        <v>6</v>
      </c>
      <c r="G1" s="2" t="s">
        <v>8</v>
      </c>
      <c r="H1" s="6" t="s">
        <v>7</v>
      </c>
      <c r="I1" s="2" t="s">
        <v>12</v>
      </c>
      <c r="J1" s="2" t="s">
        <v>14</v>
      </c>
      <c r="K1" s="2" t="s">
        <v>15</v>
      </c>
      <c r="L1" s="2" t="s">
        <v>16</v>
      </c>
      <c r="M1" s="2" t="s">
        <v>18</v>
      </c>
      <c r="N1" s="8" t="s">
        <v>19</v>
      </c>
      <c r="O1" s="2" t="s">
        <v>20</v>
      </c>
      <c r="P1" s="2" t="s">
        <v>21</v>
      </c>
      <c r="Q1" s="2" t="s">
        <v>22</v>
      </c>
      <c r="R1" s="2"/>
      <c r="S1" s="2"/>
      <c r="T1" s="2" t="s">
        <v>8</v>
      </c>
      <c r="U1" s="2" t="s">
        <v>25</v>
      </c>
      <c r="V1" s="2" t="s">
        <v>3</v>
      </c>
      <c r="W1" s="9"/>
      <c r="X1" s="9"/>
      <c r="Y1" s="9"/>
      <c r="Z1" s="9"/>
    </row>
    <row r="2" ht="12.0" customHeight="1">
      <c r="A2" s="2" t="s">
        <v>27</v>
      </c>
      <c r="B2" s="2" t="s">
        <v>28</v>
      </c>
      <c r="C2" s="11">
        <v>1.0</v>
      </c>
      <c r="D2" s="14"/>
      <c r="E2" s="11"/>
      <c r="F2" s="11">
        <f t="shared" ref="F2:F37" si="1">CEILING(C2/IF(E2="",1,E2),1)</f>
        <v>1</v>
      </c>
      <c r="G2" s="2" t="s">
        <v>35</v>
      </c>
      <c r="H2" s="17"/>
      <c r="I2" s="18" t="s">
        <v>37</v>
      </c>
      <c r="J2" s="23">
        <f t="shared" ref="J2:J26" si="2">F2*D2</f>
        <v>0</v>
      </c>
      <c r="K2" s="24"/>
      <c r="L2" s="2"/>
      <c r="M2" s="2"/>
      <c r="N2" s="6"/>
      <c r="O2" s="27"/>
      <c r="P2" s="2"/>
      <c r="Q2" s="2"/>
      <c r="R2" s="2"/>
      <c r="S2" s="2"/>
      <c r="T2" s="9"/>
      <c r="U2" s="2"/>
      <c r="V2" s="2"/>
      <c r="W2" s="9"/>
      <c r="X2" s="9"/>
      <c r="Y2" s="9"/>
      <c r="Z2" s="9"/>
    </row>
    <row r="3" ht="12.0" customHeight="1">
      <c r="A3" s="2" t="s">
        <v>38</v>
      </c>
      <c r="B3" s="2" t="s">
        <v>28</v>
      </c>
      <c r="C3" s="11">
        <v>1.0</v>
      </c>
      <c r="D3" s="3">
        <v>4.0</v>
      </c>
      <c r="E3" s="11">
        <v>2.0</v>
      </c>
      <c r="F3" s="11">
        <f t="shared" si="1"/>
        <v>1</v>
      </c>
      <c r="G3" s="2" t="s">
        <v>39</v>
      </c>
      <c r="H3" s="6" t="s">
        <v>40</v>
      </c>
      <c r="I3" s="2" t="s">
        <v>41</v>
      </c>
      <c r="J3" s="23">
        <f t="shared" si="2"/>
        <v>4</v>
      </c>
      <c r="K3" s="24"/>
      <c r="L3" s="2"/>
      <c r="M3" s="2"/>
      <c r="N3" s="6"/>
      <c r="O3" s="6"/>
      <c r="P3" s="2"/>
      <c r="Q3" s="2"/>
      <c r="R3" s="2"/>
      <c r="S3" s="2"/>
      <c r="T3" s="9"/>
      <c r="U3" s="2"/>
      <c r="V3" s="2"/>
      <c r="W3" s="9"/>
      <c r="X3" s="9"/>
      <c r="Y3" s="9"/>
      <c r="Z3" s="9"/>
    </row>
    <row r="4" ht="12.0" customHeight="1">
      <c r="A4" s="2" t="s">
        <v>44</v>
      </c>
      <c r="B4" s="2" t="s">
        <v>28</v>
      </c>
      <c r="C4" s="11">
        <v>12.0</v>
      </c>
      <c r="D4" s="14">
        <v>6.0</v>
      </c>
      <c r="E4" s="11"/>
      <c r="F4" s="11">
        <f t="shared" si="1"/>
        <v>12</v>
      </c>
      <c r="G4" s="2" t="s">
        <v>45</v>
      </c>
      <c r="H4" s="2" t="s">
        <v>46</v>
      </c>
      <c r="I4" s="18" t="s">
        <v>48</v>
      </c>
      <c r="J4" s="23">
        <f t="shared" si="2"/>
        <v>72</v>
      </c>
      <c r="K4" s="24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9"/>
      <c r="X4" s="9"/>
      <c r="Y4" s="9"/>
      <c r="Z4" s="9"/>
    </row>
    <row r="5" ht="12.0" customHeight="1">
      <c r="A5" s="2" t="s">
        <v>56</v>
      </c>
      <c r="B5" s="2" t="s">
        <v>28</v>
      </c>
      <c r="C5" s="11">
        <v>1.0</v>
      </c>
      <c r="D5" s="14">
        <v>609.0</v>
      </c>
      <c r="E5" s="11"/>
      <c r="F5" s="11">
        <f t="shared" si="1"/>
        <v>1</v>
      </c>
      <c r="G5" s="2" t="s">
        <v>45</v>
      </c>
      <c r="H5" s="2" t="s">
        <v>57</v>
      </c>
      <c r="I5" s="18" t="s">
        <v>58</v>
      </c>
      <c r="J5" s="23">
        <f t="shared" si="2"/>
        <v>609</v>
      </c>
      <c r="K5" s="24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9"/>
      <c r="X5" s="9"/>
      <c r="Y5" s="9"/>
      <c r="Z5" s="9"/>
    </row>
    <row r="6" ht="12.0" customHeight="1">
      <c r="A6" s="2" t="s">
        <v>59</v>
      </c>
      <c r="B6" s="2" t="s">
        <v>28</v>
      </c>
      <c r="C6" s="11">
        <v>1.0</v>
      </c>
      <c r="D6" s="14">
        <v>184.0</v>
      </c>
      <c r="E6" s="11"/>
      <c r="F6" s="11">
        <f t="shared" si="1"/>
        <v>1</v>
      </c>
      <c r="G6" s="2" t="s">
        <v>45</v>
      </c>
      <c r="H6" s="6" t="s">
        <v>62</v>
      </c>
      <c r="I6" s="18" t="s">
        <v>63</v>
      </c>
      <c r="J6" s="23">
        <f t="shared" si="2"/>
        <v>184</v>
      </c>
      <c r="K6" s="24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9"/>
      <c r="X6" s="9"/>
      <c r="Y6" s="9"/>
      <c r="Z6" s="9"/>
    </row>
    <row r="7" ht="12.0" customHeight="1">
      <c r="A7" s="2" t="s">
        <v>70</v>
      </c>
      <c r="B7" s="2" t="s">
        <v>28</v>
      </c>
      <c r="C7" s="11">
        <v>12.0</v>
      </c>
      <c r="D7" s="14">
        <v>10.0</v>
      </c>
      <c r="E7" s="11"/>
      <c r="F7" s="11">
        <f t="shared" si="1"/>
        <v>12</v>
      </c>
      <c r="G7" s="2" t="s">
        <v>45</v>
      </c>
      <c r="H7" s="6" t="s">
        <v>71</v>
      </c>
      <c r="I7" s="18" t="s">
        <v>72</v>
      </c>
      <c r="J7" s="23">
        <f t="shared" si="2"/>
        <v>120</v>
      </c>
      <c r="K7" s="24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9"/>
      <c r="X7" s="9"/>
      <c r="Y7" s="9"/>
      <c r="Z7" s="9"/>
    </row>
    <row r="8" ht="12.0" customHeight="1">
      <c r="A8" s="2" t="s">
        <v>79</v>
      </c>
      <c r="B8" s="2" t="s">
        <v>28</v>
      </c>
      <c r="C8" s="11">
        <v>12.0</v>
      </c>
      <c r="D8" s="14">
        <v>252.0</v>
      </c>
      <c r="E8" s="11">
        <v>10.0</v>
      </c>
      <c r="F8" s="11">
        <f t="shared" si="1"/>
        <v>2</v>
      </c>
      <c r="G8" s="2" t="s">
        <v>45</v>
      </c>
      <c r="H8" s="6" t="s">
        <v>82</v>
      </c>
      <c r="I8" s="18" t="s">
        <v>85</v>
      </c>
      <c r="J8" s="23">
        <f t="shared" si="2"/>
        <v>504</v>
      </c>
      <c r="K8" s="24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9"/>
      <c r="X8" s="9"/>
      <c r="Y8" s="9"/>
      <c r="Z8" s="9"/>
    </row>
    <row r="9" ht="12.0" customHeight="1">
      <c r="A9" s="2" t="s">
        <v>88</v>
      </c>
      <c r="B9" s="2" t="s">
        <v>28</v>
      </c>
      <c r="C9" s="11">
        <v>3.0</v>
      </c>
      <c r="D9" s="14">
        <v>12.0</v>
      </c>
      <c r="E9" s="11"/>
      <c r="F9" s="11">
        <f t="shared" si="1"/>
        <v>3</v>
      </c>
      <c r="G9" s="2" t="s">
        <v>45</v>
      </c>
      <c r="H9" s="6" t="s">
        <v>89</v>
      </c>
      <c r="I9" s="18" t="s">
        <v>90</v>
      </c>
      <c r="J9" s="23">
        <f t="shared" si="2"/>
        <v>36</v>
      </c>
      <c r="K9" s="24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9"/>
      <c r="X9" s="9"/>
      <c r="Y9" s="9"/>
      <c r="Z9" s="9"/>
    </row>
    <row r="10" ht="12.0" customHeight="1">
      <c r="A10" s="2" t="s">
        <v>99</v>
      </c>
      <c r="B10" s="2" t="s">
        <v>28</v>
      </c>
      <c r="C10" s="11">
        <v>3.0</v>
      </c>
      <c r="D10" s="14">
        <v>227.0</v>
      </c>
      <c r="E10" s="11">
        <v>10.0</v>
      </c>
      <c r="F10" s="11">
        <f t="shared" si="1"/>
        <v>1</v>
      </c>
      <c r="G10" s="2" t="s">
        <v>45</v>
      </c>
      <c r="H10" s="6" t="s">
        <v>100</v>
      </c>
      <c r="I10" s="18" t="s">
        <v>101</v>
      </c>
      <c r="J10" s="23">
        <f t="shared" si="2"/>
        <v>227</v>
      </c>
      <c r="K10" s="24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9"/>
      <c r="X10" s="9"/>
      <c r="Y10" s="9"/>
      <c r="Z10" s="9"/>
    </row>
    <row r="11" ht="12.0" customHeight="1">
      <c r="A11" s="2" t="s">
        <v>111</v>
      </c>
      <c r="B11" s="2" t="s">
        <v>28</v>
      </c>
      <c r="C11" s="11">
        <v>2.0</v>
      </c>
      <c r="D11" s="14">
        <v>6.0</v>
      </c>
      <c r="E11" s="11"/>
      <c r="F11" s="11">
        <f t="shared" si="1"/>
        <v>2</v>
      </c>
      <c r="G11" s="2" t="s">
        <v>45</v>
      </c>
      <c r="H11" s="6" t="s">
        <v>112</v>
      </c>
      <c r="I11" s="18" t="s">
        <v>113</v>
      </c>
      <c r="J11" s="23">
        <f t="shared" si="2"/>
        <v>12</v>
      </c>
      <c r="K11" s="24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9"/>
      <c r="X11" s="9"/>
      <c r="Y11" s="9"/>
      <c r="Z11" s="9"/>
    </row>
    <row r="12" ht="12.0" customHeight="1">
      <c r="A12" s="2" t="s">
        <v>120</v>
      </c>
      <c r="B12" s="2" t="s">
        <v>28</v>
      </c>
      <c r="C12" s="11">
        <v>2.0</v>
      </c>
      <c r="D12" s="14">
        <v>23.0</v>
      </c>
      <c r="E12" s="11"/>
      <c r="F12" s="11">
        <f t="shared" si="1"/>
        <v>2</v>
      </c>
      <c r="G12" s="2" t="s">
        <v>45</v>
      </c>
      <c r="H12" s="6" t="s">
        <v>123</v>
      </c>
      <c r="I12" s="18" t="s">
        <v>124</v>
      </c>
      <c r="J12" s="23">
        <f t="shared" si="2"/>
        <v>46</v>
      </c>
      <c r="K12" s="24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9"/>
      <c r="X12" s="9"/>
      <c r="Y12" s="9"/>
      <c r="Z12" s="9"/>
    </row>
    <row r="13" ht="12.0" customHeight="1">
      <c r="A13" s="2" t="s">
        <v>130</v>
      </c>
      <c r="B13" s="2" t="s">
        <v>131</v>
      </c>
      <c r="C13" s="11">
        <v>6.0</v>
      </c>
      <c r="D13" s="3">
        <v>12.0</v>
      </c>
      <c r="E13" s="11">
        <v>100.0</v>
      </c>
      <c r="F13" s="11">
        <f t="shared" si="1"/>
        <v>1</v>
      </c>
      <c r="G13" s="2" t="s">
        <v>39</v>
      </c>
      <c r="H13" s="6"/>
      <c r="I13" s="2" t="s">
        <v>132</v>
      </c>
      <c r="J13" s="23">
        <f t="shared" si="2"/>
        <v>12</v>
      </c>
      <c r="K13" s="24"/>
      <c r="L13" s="2"/>
      <c r="M13" s="2"/>
      <c r="N13" s="6"/>
      <c r="O13" s="6"/>
      <c r="P13" s="2"/>
      <c r="Q13" s="2"/>
      <c r="R13" s="2"/>
      <c r="S13" s="2"/>
      <c r="T13" s="9"/>
      <c r="U13" s="2"/>
      <c r="V13" s="2"/>
      <c r="W13" s="9"/>
      <c r="X13" s="9"/>
      <c r="Y13" s="9"/>
      <c r="Z13" s="9"/>
    </row>
    <row r="14" ht="12.0" customHeight="1">
      <c r="A14" s="2" t="s">
        <v>134</v>
      </c>
      <c r="B14" s="2" t="s">
        <v>28</v>
      </c>
      <c r="C14" s="11">
        <v>4.0</v>
      </c>
      <c r="D14" s="14">
        <v>11.0</v>
      </c>
      <c r="E14" s="11">
        <v>50.0</v>
      </c>
      <c r="F14" s="11">
        <f t="shared" si="1"/>
        <v>1</v>
      </c>
      <c r="G14" s="2" t="s">
        <v>39</v>
      </c>
      <c r="H14" s="52"/>
      <c r="I14" s="18" t="s">
        <v>138</v>
      </c>
      <c r="J14" s="23">
        <f t="shared" si="2"/>
        <v>11</v>
      </c>
      <c r="K14" s="24"/>
      <c r="L14" s="2"/>
      <c r="M14" s="53"/>
      <c r="N14" s="2"/>
      <c r="O14" s="53"/>
      <c r="P14" s="2"/>
      <c r="Q14" s="2"/>
      <c r="R14" s="2"/>
      <c r="S14" s="2"/>
      <c r="T14" s="9"/>
      <c r="U14" s="2"/>
      <c r="V14" s="2"/>
      <c r="W14" s="9"/>
      <c r="X14" s="9"/>
      <c r="Y14" s="9"/>
      <c r="Z14" s="9"/>
    </row>
    <row r="15" ht="12.0" customHeight="1">
      <c r="A15" s="2" t="s">
        <v>143</v>
      </c>
      <c r="B15" s="2" t="s">
        <v>144</v>
      </c>
      <c r="C15" s="11">
        <v>36.0</v>
      </c>
      <c r="D15" s="3">
        <v>14.0</v>
      </c>
      <c r="E15" s="11">
        <v>100.0</v>
      </c>
      <c r="F15" s="11">
        <f t="shared" si="1"/>
        <v>1</v>
      </c>
      <c r="G15" s="2" t="s">
        <v>39</v>
      </c>
      <c r="H15" s="6"/>
      <c r="I15" s="2" t="s">
        <v>145</v>
      </c>
      <c r="J15" s="23">
        <f t="shared" si="2"/>
        <v>14</v>
      </c>
      <c r="K15" s="24"/>
      <c r="L15" s="2"/>
      <c r="M15" s="2"/>
      <c r="N15" s="6"/>
      <c r="O15" s="6"/>
      <c r="P15" s="2"/>
      <c r="Q15" s="2"/>
      <c r="R15" s="2"/>
      <c r="S15" s="2"/>
      <c r="T15" s="9"/>
      <c r="U15" s="2"/>
      <c r="V15" s="2"/>
      <c r="W15" s="9"/>
      <c r="X15" s="9"/>
      <c r="Y15" s="9"/>
      <c r="Z15" s="9"/>
    </row>
    <row r="16" ht="12.0" customHeight="1">
      <c r="A16" s="2" t="s">
        <v>150</v>
      </c>
      <c r="B16" s="2" t="s">
        <v>28</v>
      </c>
      <c r="C16" s="11">
        <v>4.0</v>
      </c>
      <c r="D16" s="14">
        <v>11.0</v>
      </c>
      <c r="E16" s="11">
        <v>25.0</v>
      </c>
      <c r="F16" s="11">
        <f t="shared" si="1"/>
        <v>1</v>
      </c>
      <c r="G16" s="2" t="s">
        <v>39</v>
      </c>
      <c r="H16" s="6"/>
      <c r="I16" s="18" t="s">
        <v>151</v>
      </c>
      <c r="J16" s="23">
        <f t="shared" si="2"/>
        <v>11</v>
      </c>
      <c r="K16" s="24"/>
      <c r="L16" s="2"/>
      <c r="M16" s="53"/>
      <c r="N16" s="2"/>
      <c r="O16" s="53"/>
      <c r="P16" s="2"/>
      <c r="Q16" s="2"/>
      <c r="R16" s="2"/>
      <c r="S16" s="2"/>
      <c r="T16" s="2"/>
      <c r="U16" s="2"/>
      <c r="V16" s="2"/>
      <c r="W16" s="9"/>
      <c r="X16" s="9"/>
      <c r="Y16" s="9"/>
      <c r="Z16" s="9"/>
    </row>
    <row r="17" ht="12.0" customHeight="1">
      <c r="A17" s="2" t="s">
        <v>152</v>
      </c>
      <c r="B17" s="2" t="s">
        <v>144</v>
      </c>
      <c r="C17" s="11">
        <v>36.0</v>
      </c>
      <c r="D17" s="3">
        <v>3.0</v>
      </c>
      <c r="E17" s="11">
        <v>25.0</v>
      </c>
      <c r="F17" s="11">
        <f t="shared" si="1"/>
        <v>2</v>
      </c>
      <c r="G17" s="2" t="s">
        <v>39</v>
      </c>
      <c r="H17" s="6"/>
      <c r="I17" s="2" t="s">
        <v>154</v>
      </c>
      <c r="J17" s="23">
        <f t="shared" si="2"/>
        <v>6</v>
      </c>
      <c r="K17" s="24"/>
      <c r="L17" s="2"/>
      <c r="M17" s="2"/>
      <c r="N17" s="6"/>
      <c r="O17" s="6"/>
      <c r="P17" s="2"/>
      <c r="Q17" s="2"/>
      <c r="R17" s="2"/>
      <c r="S17" s="2"/>
      <c r="T17" s="9"/>
      <c r="U17" s="2"/>
      <c r="V17" s="2"/>
      <c r="W17" s="9"/>
      <c r="X17" s="9"/>
      <c r="Y17" s="9"/>
      <c r="Z17" s="9"/>
    </row>
    <row r="18" ht="12.0" customHeight="1">
      <c r="A18" s="2"/>
      <c r="B18" s="2"/>
      <c r="C18" s="11"/>
      <c r="D18" s="3"/>
      <c r="E18" s="11"/>
      <c r="F18" s="11">
        <f t="shared" si="1"/>
        <v>0</v>
      </c>
      <c r="G18" s="2"/>
      <c r="H18" s="6"/>
      <c r="I18" s="2"/>
      <c r="J18" s="23">
        <f t="shared" si="2"/>
        <v>0</v>
      </c>
      <c r="K18" s="24"/>
      <c r="L18" s="2"/>
      <c r="M18" s="2"/>
      <c r="N18" s="6"/>
      <c r="O18" s="6"/>
      <c r="P18" s="2"/>
      <c r="Q18" s="2"/>
      <c r="R18" s="2"/>
      <c r="S18" s="2"/>
      <c r="T18" s="9"/>
      <c r="U18" s="2"/>
      <c r="V18" s="2"/>
      <c r="W18" s="9"/>
      <c r="X18" s="9"/>
      <c r="Y18" s="9"/>
      <c r="Z18" s="9"/>
    </row>
    <row r="19" ht="12.0" customHeight="1">
      <c r="A19" s="55" t="s">
        <v>157</v>
      </c>
      <c r="B19" s="2"/>
      <c r="C19" s="11"/>
      <c r="D19" s="3"/>
      <c r="E19" s="11"/>
      <c r="F19" s="11">
        <f t="shared" si="1"/>
        <v>0</v>
      </c>
      <c r="G19" s="2"/>
      <c r="H19" s="6"/>
      <c r="I19" s="2"/>
      <c r="J19" s="23">
        <f t="shared" si="2"/>
        <v>0</v>
      </c>
      <c r="K19" s="24"/>
      <c r="L19" s="2"/>
      <c r="M19" s="2"/>
      <c r="N19" s="6"/>
      <c r="O19" s="6"/>
      <c r="P19" s="2"/>
      <c r="Q19" s="2"/>
      <c r="R19" s="2"/>
      <c r="S19" s="2"/>
      <c r="T19" s="9"/>
      <c r="U19" s="2"/>
      <c r="V19" s="2"/>
      <c r="W19" s="9"/>
      <c r="X19" s="9"/>
      <c r="Y19" s="9"/>
      <c r="Z19" s="9"/>
    </row>
    <row r="20" ht="12.0" customHeight="1">
      <c r="A20" s="2" t="s">
        <v>162</v>
      </c>
      <c r="B20" s="2" t="s">
        <v>163</v>
      </c>
      <c r="C20" s="11">
        <v>32.0</v>
      </c>
      <c r="D20" s="3">
        <v>5.08</v>
      </c>
      <c r="E20" s="11"/>
      <c r="F20" s="11">
        <f t="shared" si="1"/>
        <v>32</v>
      </c>
      <c r="G20" s="56" t="s">
        <v>164</v>
      </c>
      <c r="H20" s="9" t="s">
        <v>165</v>
      </c>
      <c r="I20" s="9" t="s">
        <v>166</v>
      </c>
      <c r="J20" s="23">
        <f t="shared" si="2"/>
        <v>162.56</v>
      </c>
      <c r="K20" s="24"/>
      <c r="L20" s="2"/>
      <c r="M20" s="2"/>
      <c r="N20" s="6"/>
      <c r="O20" s="6"/>
      <c r="P20" s="2"/>
      <c r="Q20" s="2"/>
      <c r="R20" s="2"/>
      <c r="S20" s="2"/>
      <c r="T20" s="9"/>
      <c r="U20" s="2"/>
      <c r="V20" s="2"/>
      <c r="W20" s="9"/>
      <c r="X20" s="9"/>
      <c r="Y20" s="9"/>
      <c r="Z20" s="9"/>
    </row>
    <row r="21" ht="12.0" customHeight="1">
      <c r="A21" s="2" t="s">
        <v>171</v>
      </c>
      <c r="B21" s="2" t="s">
        <v>173</v>
      </c>
      <c r="C21" s="11">
        <v>16.0</v>
      </c>
      <c r="D21" s="3">
        <v>37.0</v>
      </c>
      <c r="E21" s="11"/>
      <c r="F21" s="11">
        <f t="shared" si="1"/>
        <v>16</v>
      </c>
      <c r="G21" s="2" t="s">
        <v>174</v>
      </c>
      <c r="H21" s="6" t="s">
        <v>175</v>
      </c>
      <c r="I21" s="2" t="s">
        <v>176</v>
      </c>
      <c r="J21" s="23">
        <f t="shared" si="2"/>
        <v>592</v>
      </c>
      <c r="K21" s="24"/>
      <c r="L21" s="2"/>
      <c r="M21" s="2"/>
      <c r="N21" s="6"/>
      <c r="O21" s="6"/>
      <c r="P21" s="2"/>
      <c r="Q21" s="2"/>
      <c r="R21" s="2"/>
      <c r="S21" s="2"/>
      <c r="T21" s="9"/>
      <c r="U21" s="2"/>
      <c r="V21" s="2"/>
      <c r="W21" s="9"/>
      <c r="X21" s="9"/>
      <c r="Y21" s="9"/>
      <c r="Z21" s="9"/>
    </row>
    <row r="22" ht="12.0" customHeight="1">
      <c r="A22" s="2" t="s">
        <v>177</v>
      </c>
      <c r="B22" s="2" t="s">
        <v>178</v>
      </c>
      <c r="C22" s="11">
        <v>16.0</v>
      </c>
      <c r="D22" s="3">
        <v>40.0</v>
      </c>
      <c r="E22" s="11"/>
      <c r="F22" s="11">
        <f t="shared" si="1"/>
        <v>16</v>
      </c>
      <c r="G22" s="2" t="s">
        <v>174</v>
      </c>
      <c r="H22" s="6" t="s">
        <v>179</v>
      </c>
      <c r="I22" s="18" t="s">
        <v>180</v>
      </c>
      <c r="J22" s="23">
        <f t="shared" si="2"/>
        <v>640</v>
      </c>
      <c r="K22" s="24"/>
      <c r="L22" s="2"/>
      <c r="M22" s="2"/>
      <c r="N22" s="6"/>
      <c r="O22" s="6"/>
      <c r="P22" s="2"/>
      <c r="Q22" s="2"/>
      <c r="R22" s="2"/>
      <c r="S22" s="2"/>
      <c r="T22" s="9"/>
      <c r="U22" s="2"/>
      <c r="V22" s="2"/>
      <c r="W22" s="9"/>
      <c r="X22" s="9"/>
      <c r="Y22" s="9"/>
      <c r="Z22" s="9"/>
    </row>
    <row r="23" ht="12.0" customHeight="1">
      <c r="A23" s="56" t="s">
        <v>185</v>
      </c>
      <c r="B23" s="2" t="s">
        <v>163</v>
      </c>
      <c r="C23" s="59">
        <v>32.0</v>
      </c>
      <c r="D23" s="60"/>
      <c r="E23" s="9"/>
      <c r="F23" s="11">
        <f t="shared" si="1"/>
        <v>32</v>
      </c>
      <c r="G23" s="9" t="s">
        <v>186</v>
      </c>
      <c r="H23" s="9"/>
      <c r="I23" s="9"/>
      <c r="J23" s="23">
        <f t="shared" si="2"/>
        <v>0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2.0" customHeight="1">
      <c r="A24" s="56" t="s">
        <v>188</v>
      </c>
      <c r="B24" s="2" t="s">
        <v>190</v>
      </c>
      <c r="C24" s="11">
        <v>16.0</v>
      </c>
      <c r="D24" s="3"/>
      <c r="E24" s="11"/>
      <c r="F24" s="11">
        <f t="shared" si="1"/>
        <v>16</v>
      </c>
      <c r="G24" s="9" t="s">
        <v>186</v>
      </c>
      <c r="H24" s="6"/>
      <c r="I24" s="2"/>
      <c r="J24" s="23">
        <f t="shared" si="2"/>
        <v>0</v>
      </c>
      <c r="K24" s="24"/>
      <c r="L24" s="2"/>
      <c r="M24" s="2"/>
      <c r="N24" s="6"/>
      <c r="O24" s="6"/>
      <c r="P24" s="2"/>
      <c r="Q24" s="2"/>
      <c r="R24" s="2"/>
      <c r="S24" s="2"/>
      <c r="T24" s="9"/>
      <c r="U24" s="2"/>
      <c r="V24" s="2"/>
      <c r="W24" s="9"/>
      <c r="X24" s="9"/>
      <c r="Y24" s="9"/>
      <c r="Z24" s="9"/>
    </row>
    <row r="25" ht="12.0" customHeight="1">
      <c r="A25" s="55" t="s">
        <v>191</v>
      </c>
      <c r="B25" s="2"/>
      <c r="C25" s="11"/>
      <c r="D25" s="3"/>
      <c r="E25" s="11"/>
      <c r="F25" s="11">
        <f t="shared" si="1"/>
        <v>0</v>
      </c>
      <c r="G25" s="2"/>
      <c r="H25" s="6"/>
      <c r="I25" s="2"/>
      <c r="J25" s="23">
        <f t="shared" si="2"/>
        <v>0</v>
      </c>
      <c r="K25" s="24"/>
      <c r="L25" s="2"/>
      <c r="M25" s="2"/>
      <c r="N25" s="6"/>
      <c r="O25" s="6"/>
      <c r="P25" s="2"/>
      <c r="Q25" s="2"/>
      <c r="R25" s="2"/>
      <c r="S25" s="2"/>
      <c r="T25" s="9"/>
      <c r="U25" s="2"/>
      <c r="V25" s="2"/>
      <c r="W25" s="9"/>
      <c r="X25" s="9"/>
      <c r="Y25" s="9"/>
      <c r="Z25" s="9"/>
    </row>
    <row r="26" ht="12.0" customHeight="1">
      <c r="A26" s="2"/>
      <c r="B26" s="2"/>
      <c r="C26" s="11"/>
      <c r="D26" s="3"/>
      <c r="E26" s="11"/>
      <c r="F26" s="11">
        <f t="shared" si="1"/>
        <v>0</v>
      </c>
      <c r="G26" s="2"/>
      <c r="H26" s="6"/>
      <c r="I26" s="2"/>
      <c r="J26" s="23">
        <f t="shared" si="2"/>
        <v>0</v>
      </c>
      <c r="K26" s="24"/>
      <c r="L26" s="2"/>
      <c r="M26" s="2"/>
      <c r="N26" s="6"/>
      <c r="O26" s="6"/>
      <c r="P26" s="2"/>
      <c r="Q26" s="2"/>
      <c r="R26" s="2"/>
      <c r="S26" s="2"/>
      <c r="T26" s="9"/>
      <c r="U26" s="2"/>
      <c r="V26" s="2"/>
      <c r="W26" s="9"/>
      <c r="X26" s="9"/>
      <c r="Y26" s="9"/>
      <c r="Z26" s="9"/>
    </row>
    <row r="27" ht="12.0" customHeight="1">
      <c r="A27" s="2"/>
      <c r="B27" s="2"/>
      <c r="C27" s="11"/>
      <c r="D27" s="3"/>
      <c r="E27" s="11"/>
      <c r="F27" s="11">
        <f t="shared" si="1"/>
        <v>0</v>
      </c>
      <c r="G27" s="2"/>
      <c r="H27" s="6"/>
      <c r="I27" s="2"/>
      <c r="J27" s="63"/>
      <c r="K27" s="24"/>
      <c r="L27" s="2"/>
      <c r="M27" s="2"/>
      <c r="N27" s="6"/>
      <c r="O27" s="6"/>
      <c r="P27" s="2"/>
      <c r="Q27" s="2"/>
      <c r="R27" s="2"/>
      <c r="S27" s="2"/>
      <c r="T27" s="9"/>
      <c r="U27" s="2"/>
      <c r="V27" s="2"/>
      <c r="W27" s="9"/>
      <c r="X27" s="9"/>
      <c r="Y27" s="9"/>
      <c r="Z27" s="9"/>
    </row>
    <row r="28" ht="12.0" customHeight="1">
      <c r="A28" s="2"/>
      <c r="B28" s="2"/>
      <c r="C28" s="11"/>
      <c r="D28" s="3"/>
      <c r="E28" s="11"/>
      <c r="F28" s="11">
        <f t="shared" si="1"/>
        <v>0</v>
      </c>
      <c r="G28" s="2"/>
      <c r="H28" s="6"/>
      <c r="I28" s="2"/>
      <c r="J28" s="63"/>
      <c r="K28" s="24"/>
      <c r="L28" s="2"/>
      <c r="M28" s="2"/>
      <c r="N28" s="6"/>
      <c r="O28" s="6"/>
      <c r="P28" s="2"/>
      <c r="Q28" s="2"/>
      <c r="R28" s="2"/>
      <c r="S28" s="2"/>
      <c r="T28" s="9"/>
      <c r="U28" s="2"/>
      <c r="V28" s="2"/>
      <c r="W28" s="9"/>
      <c r="X28" s="9"/>
      <c r="Y28" s="9"/>
      <c r="Z28" s="9"/>
    </row>
    <row r="29" ht="12.0" customHeight="1">
      <c r="A29" s="64" t="s">
        <v>194</v>
      </c>
      <c r="B29" s="2"/>
      <c r="C29" s="11"/>
      <c r="D29" s="3"/>
      <c r="E29" s="11"/>
      <c r="F29" s="11">
        <f t="shared" si="1"/>
        <v>0</v>
      </c>
      <c r="G29" s="2"/>
      <c r="H29" s="6"/>
      <c r="I29" s="2"/>
      <c r="J29" s="63"/>
      <c r="K29" s="24"/>
      <c r="L29" s="2"/>
      <c r="M29" s="2"/>
      <c r="N29" s="6"/>
      <c r="O29" s="6"/>
      <c r="P29" s="2"/>
      <c r="Q29" s="2"/>
      <c r="R29" s="2"/>
      <c r="S29" s="2"/>
      <c r="T29" s="9"/>
      <c r="U29" s="2"/>
      <c r="V29" s="2"/>
      <c r="W29" s="9"/>
      <c r="X29" s="9"/>
      <c r="Y29" s="9"/>
      <c r="Z29" s="9"/>
    </row>
    <row r="30" ht="12.0" customHeight="1">
      <c r="A30" s="65" t="s">
        <v>196</v>
      </c>
      <c r="B30" s="65" t="s">
        <v>197</v>
      </c>
      <c r="C30" s="67">
        <v>4.0</v>
      </c>
      <c r="D30" s="68">
        <v>20.0</v>
      </c>
      <c r="E30" s="67">
        <v>10.0</v>
      </c>
      <c r="F30" s="11">
        <f t="shared" si="1"/>
        <v>1</v>
      </c>
      <c r="G30" s="65" t="s">
        <v>39</v>
      </c>
      <c r="H30" s="6"/>
      <c r="I30" s="70" t="s">
        <v>200</v>
      </c>
      <c r="J30" s="63"/>
      <c r="K30" s="24"/>
      <c r="L30" s="2"/>
      <c r="M30" s="2"/>
      <c r="N30" s="6"/>
      <c r="O30" s="6"/>
      <c r="P30" s="2"/>
      <c r="Q30" s="2"/>
      <c r="R30" s="2"/>
      <c r="S30" s="2"/>
      <c r="T30" s="9"/>
      <c r="U30" s="2"/>
      <c r="V30" s="2"/>
      <c r="W30" s="9"/>
      <c r="X30" s="9"/>
      <c r="Y30" s="9"/>
      <c r="Z30" s="9"/>
    </row>
    <row r="31" ht="12.0" customHeight="1">
      <c r="A31" s="65" t="s">
        <v>204</v>
      </c>
      <c r="B31" s="65" t="s">
        <v>197</v>
      </c>
      <c r="C31" s="67">
        <v>4.0</v>
      </c>
      <c r="D31" s="68">
        <v>10.0</v>
      </c>
      <c r="E31" s="67">
        <v>10.0</v>
      </c>
      <c r="F31" s="11">
        <f t="shared" si="1"/>
        <v>1</v>
      </c>
      <c r="G31" s="65" t="s">
        <v>39</v>
      </c>
      <c r="H31" s="6"/>
      <c r="I31" s="70" t="s">
        <v>206</v>
      </c>
      <c r="J31" s="63"/>
      <c r="K31" s="24"/>
      <c r="L31" s="2"/>
      <c r="M31" s="2"/>
      <c r="N31" s="6"/>
      <c r="O31" s="6"/>
      <c r="P31" s="2"/>
      <c r="Q31" s="2"/>
      <c r="R31" s="2"/>
      <c r="S31" s="2"/>
      <c r="T31" s="9"/>
      <c r="U31" s="2"/>
      <c r="V31" s="2"/>
      <c r="W31" s="9"/>
      <c r="X31" s="9"/>
      <c r="Y31" s="9"/>
      <c r="Z31" s="9"/>
    </row>
    <row r="32" ht="12.0" customHeight="1">
      <c r="A32" s="65" t="s">
        <v>207</v>
      </c>
      <c r="B32" s="65" t="s">
        <v>197</v>
      </c>
      <c r="C32" s="67">
        <v>4.0</v>
      </c>
      <c r="D32" s="68">
        <v>7.0</v>
      </c>
      <c r="E32" s="67">
        <v>10.0</v>
      </c>
      <c r="F32" s="11">
        <f t="shared" si="1"/>
        <v>1</v>
      </c>
      <c r="G32" s="65" t="s">
        <v>39</v>
      </c>
      <c r="H32" s="6"/>
      <c r="I32" s="70" t="s">
        <v>208</v>
      </c>
      <c r="J32" s="63"/>
      <c r="K32" s="24"/>
      <c r="L32" s="2"/>
      <c r="M32" s="2"/>
      <c r="N32" s="6"/>
      <c r="O32" s="6"/>
      <c r="P32" s="2"/>
      <c r="Q32" s="2"/>
      <c r="R32" s="2"/>
      <c r="S32" s="2"/>
      <c r="T32" s="9"/>
      <c r="U32" s="2"/>
      <c r="V32" s="2"/>
      <c r="W32" s="9"/>
      <c r="X32" s="9"/>
      <c r="Y32" s="9"/>
      <c r="Z32" s="9"/>
    </row>
    <row r="33" ht="12.0" customHeight="1">
      <c r="A33" s="65" t="s">
        <v>213</v>
      </c>
      <c r="B33" s="65" t="s">
        <v>197</v>
      </c>
      <c r="C33" s="67">
        <v>4.0</v>
      </c>
      <c r="D33" s="68">
        <v>19.0</v>
      </c>
      <c r="E33" s="67">
        <v>25.0</v>
      </c>
      <c r="F33" s="11">
        <f t="shared" si="1"/>
        <v>1</v>
      </c>
      <c r="G33" s="65" t="s">
        <v>39</v>
      </c>
      <c r="H33" s="6"/>
      <c r="I33" s="70" t="s">
        <v>214</v>
      </c>
      <c r="J33" s="63"/>
      <c r="K33" s="24"/>
      <c r="L33" s="2"/>
      <c r="M33" s="2"/>
      <c r="N33" s="6"/>
      <c r="O33" s="6"/>
      <c r="P33" s="2"/>
      <c r="Q33" s="2"/>
      <c r="R33" s="2"/>
      <c r="S33" s="2"/>
      <c r="T33" s="9"/>
      <c r="U33" s="2"/>
      <c r="V33" s="2"/>
      <c r="W33" s="9"/>
      <c r="X33" s="9"/>
      <c r="Y33" s="9"/>
      <c r="Z33" s="9"/>
    </row>
    <row r="34" ht="12.0" customHeight="1">
      <c r="A34" s="2"/>
      <c r="B34" s="2"/>
      <c r="C34" s="11"/>
      <c r="D34" s="14"/>
      <c r="E34" s="11"/>
      <c r="F34" s="11">
        <f t="shared" si="1"/>
        <v>0</v>
      </c>
      <c r="G34" s="2"/>
      <c r="H34" s="75"/>
      <c r="I34" s="76"/>
      <c r="J34" s="23"/>
      <c r="K34" s="24"/>
      <c r="L34" s="2"/>
      <c r="M34" s="77"/>
      <c r="N34" s="2"/>
      <c r="O34" s="2"/>
      <c r="P34" s="2"/>
      <c r="Q34" s="2"/>
      <c r="R34" s="2"/>
      <c r="S34" s="2"/>
      <c r="T34" s="9"/>
      <c r="U34" s="2" t="s">
        <v>219</v>
      </c>
      <c r="V34" s="78">
        <v>1480.0</v>
      </c>
      <c r="W34" s="9"/>
      <c r="X34" s="9"/>
      <c r="Y34" s="9"/>
      <c r="Z34" s="9"/>
    </row>
    <row r="35" ht="12.0" customHeight="1">
      <c r="A35" s="2"/>
      <c r="B35" s="2"/>
      <c r="C35" s="11"/>
      <c r="D35" s="14"/>
      <c r="E35" s="11"/>
      <c r="F35" s="11">
        <f t="shared" si="1"/>
        <v>0</v>
      </c>
      <c r="G35" s="2"/>
      <c r="H35" s="2"/>
      <c r="I35" s="76"/>
      <c r="J35" s="63"/>
      <c r="K35" s="24"/>
      <c r="L35" s="2"/>
      <c r="M35" s="79"/>
      <c r="N35" s="2"/>
      <c r="O35" s="79"/>
      <c r="P35" s="2"/>
      <c r="Q35" s="2"/>
      <c r="R35" s="2"/>
      <c r="S35" s="2"/>
      <c r="T35" s="9"/>
      <c r="U35" s="2" t="s">
        <v>220</v>
      </c>
      <c r="V35" s="80">
        <v>2800.0</v>
      </c>
      <c r="W35" s="9"/>
      <c r="X35" s="9"/>
      <c r="Y35" s="9"/>
      <c r="Z35" s="9"/>
    </row>
    <row r="36" ht="12.0" customHeight="1">
      <c r="A36" s="2"/>
      <c r="B36" s="2"/>
      <c r="C36" s="11"/>
      <c r="D36" s="14"/>
      <c r="E36" s="11"/>
      <c r="F36" s="11">
        <f t="shared" si="1"/>
        <v>0</v>
      </c>
      <c r="G36" s="2"/>
      <c r="H36" s="2"/>
      <c r="I36" s="76"/>
      <c r="J36" s="63"/>
      <c r="K36" s="24"/>
      <c r="L36" s="2"/>
      <c r="M36" s="79"/>
      <c r="N36" s="2"/>
      <c r="O36" s="79"/>
      <c r="P36" s="2"/>
      <c r="Q36" s="2"/>
      <c r="R36" s="2"/>
      <c r="S36" s="2"/>
      <c r="T36" s="9"/>
      <c r="U36" s="2" t="s">
        <v>220</v>
      </c>
      <c r="V36" s="2" t="s">
        <v>223</v>
      </c>
      <c r="W36" s="9"/>
      <c r="X36" s="9"/>
      <c r="Y36" s="9"/>
      <c r="Z36" s="9"/>
    </row>
    <row r="37" ht="12.0" customHeight="1">
      <c r="A37" s="2"/>
      <c r="B37" s="2"/>
      <c r="C37" s="2"/>
      <c r="D37" s="3"/>
      <c r="E37" s="2"/>
      <c r="F37" s="11">
        <f t="shared" si="1"/>
        <v>0</v>
      </c>
      <c r="G37" s="2"/>
      <c r="H37" s="2"/>
      <c r="I37" s="2"/>
      <c r="J37" s="11"/>
      <c r="K37" s="24"/>
      <c r="L37" s="2"/>
      <c r="M37" s="2"/>
      <c r="N37" s="2"/>
      <c r="O37" s="2"/>
      <c r="P37" s="2"/>
      <c r="Q37" s="2"/>
      <c r="R37" s="2"/>
      <c r="S37" s="2"/>
      <c r="T37" s="9"/>
      <c r="U37" s="2" t="s">
        <v>224</v>
      </c>
      <c r="V37" s="2" t="s">
        <v>225</v>
      </c>
      <c r="W37" s="9"/>
      <c r="X37" s="9"/>
      <c r="Y37" s="9"/>
      <c r="Z37" s="9"/>
    </row>
    <row r="38" ht="12.0" customHeight="1">
      <c r="A38" s="2"/>
      <c r="B38" s="2"/>
      <c r="C38" s="2"/>
      <c r="D38" s="3"/>
      <c r="E38" s="2"/>
      <c r="F38" s="2"/>
      <c r="G38" s="2"/>
      <c r="H38" s="2"/>
      <c r="I38" s="2"/>
      <c r="J38" s="11"/>
      <c r="K38" s="24"/>
      <c r="L38" s="2"/>
      <c r="M38" s="2"/>
      <c r="N38" s="2"/>
      <c r="O38" s="2"/>
      <c r="P38" s="2"/>
      <c r="Q38" s="2"/>
      <c r="R38" s="2"/>
      <c r="S38" s="2"/>
      <c r="T38" s="9"/>
      <c r="U38" s="2" t="s">
        <v>226</v>
      </c>
      <c r="V38" s="2" t="s">
        <v>227</v>
      </c>
      <c r="W38" s="9"/>
      <c r="X38" s="9"/>
      <c r="Y38" s="9"/>
      <c r="Z38" s="9"/>
    </row>
    <row r="39" ht="12.0" customHeight="1">
      <c r="A39" s="2"/>
      <c r="B39" s="11"/>
      <c r="C39" s="11"/>
      <c r="D39" s="14"/>
      <c r="E39" s="11"/>
      <c r="F39" s="11"/>
      <c r="G39" s="2"/>
      <c r="H39" s="6"/>
      <c r="I39" s="76"/>
      <c r="J39" s="63"/>
      <c r="K39" s="24"/>
      <c r="L39" s="2"/>
      <c r="M39" s="53"/>
      <c r="N39" s="2"/>
      <c r="O39" s="53"/>
      <c r="P39" s="2"/>
      <c r="Q39" s="2"/>
      <c r="R39" s="2"/>
      <c r="S39" s="2"/>
      <c r="T39" s="2"/>
      <c r="U39" s="2"/>
      <c r="V39" s="2"/>
      <c r="W39" s="9"/>
      <c r="X39" s="9"/>
      <c r="Y39" s="9"/>
      <c r="Z39" s="9"/>
    </row>
    <row r="40" ht="12.0" customHeight="1">
      <c r="A40" s="2"/>
      <c r="B40" s="2"/>
      <c r="C40" s="11"/>
      <c r="D40" s="14"/>
      <c r="E40" s="11"/>
      <c r="F40" s="11"/>
      <c r="G40" s="2"/>
      <c r="H40" s="52"/>
      <c r="I40" s="76"/>
      <c r="J40" s="63"/>
      <c r="K40" s="24"/>
      <c r="L40" s="2"/>
      <c r="M40" s="53"/>
      <c r="N40" s="2"/>
      <c r="O40" s="53"/>
      <c r="P40" s="2"/>
      <c r="Q40" s="2"/>
      <c r="R40" s="2"/>
      <c r="S40" s="2"/>
      <c r="T40" s="2"/>
      <c r="U40" s="2"/>
      <c r="V40" s="2"/>
      <c r="W40" s="9"/>
      <c r="X40" s="9"/>
      <c r="Y40" s="9"/>
      <c r="Z40" s="9"/>
    </row>
    <row r="41" ht="12.0" customHeight="1">
      <c r="A41" s="2"/>
      <c r="B41" s="2"/>
      <c r="C41" s="2"/>
      <c r="D41" s="3"/>
      <c r="E41" s="2"/>
      <c r="F41" s="2"/>
      <c r="G41" s="2"/>
      <c r="H41" s="6"/>
      <c r="I41" s="2"/>
      <c r="J41" s="11"/>
      <c r="K41" s="24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9"/>
      <c r="X41" s="9"/>
      <c r="Y41" s="9"/>
      <c r="Z41" s="9"/>
    </row>
    <row r="42" ht="12.0" customHeight="1">
      <c r="A42" s="2"/>
      <c r="B42" s="2"/>
      <c r="C42" s="2"/>
      <c r="D42" s="3"/>
      <c r="E42" s="2"/>
      <c r="F42" s="2"/>
      <c r="G42" s="2"/>
      <c r="H42" s="2"/>
      <c r="I42" s="2"/>
      <c r="J42" s="11"/>
      <c r="K42" s="24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9"/>
      <c r="X42" s="9"/>
      <c r="Y42" s="9"/>
      <c r="Z42" s="9"/>
    </row>
    <row r="43" ht="12.0" customHeight="1">
      <c r="A43" s="2"/>
      <c r="B43" s="2"/>
      <c r="C43" s="11"/>
      <c r="D43" s="3"/>
      <c r="E43" s="11"/>
      <c r="F43" s="11"/>
      <c r="G43" s="2"/>
      <c r="H43" s="6"/>
      <c r="I43" s="2"/>
      <c r="J43" s="2"/>
      <c r="K43" s="24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9"/>
      <c r="X43" s="9"/>
      <c r="Y43" s="9"/>
      <c r="Z43" s="9"/>
    </row>
    <row r="44" ht="12.0" customHeight="1">
      <c r="A44" s="2"/>
      <c r="B44" s="2"/>
      <c r="C44" s="11"/>
      <c r="D44" s="3"/>
      <c r="E44" s="11"/>
      <c r="F44" s="11"/>
      <c r="G44" s="2"/>
      <c r="H44" s="6"/>
      <c r="I44" s="2"/>
      <c r="J44" s="2"/>
      <c r="K44" s="24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9"/>
      <c r="X44" s="9"/>
      <c r="Y44" s="9"/>
      <c r="Z44" s="9"/>
    </row>
    <row r="45" ht="12.0" customHeight="1">
      <c r="A45" s="2"/>
      <c r="B45" s="2"/>
      <c r="C45" s="11"/>
      <c r="D45" s="14"/>
      <c r="E45" s="11"/>
      <c r="F45" s="11"/>
      <c r="G45" s="2"/>
      <c r="H45" s="2"/>
      <c r="I45" s="76"/>
      <c r="J45" s="23"/>
      <c r="K45" s="24"/>
      <c r="L45" s="2"/>
      <c r="M45" s="86"/>
      <c r="N45" s="2"/>
      <c r="O45" s="2"/>
      <c r="P45" s="2"/>
      <c r="Q45" s="2"/>
      <c r="R45" s="2"/>
      <c r="S45" s="2"/>
      <c r="T45" s="2"/>
      <c r="U45" s="2"/>
      <c r="V45" s="2"/>
      <c r="W45" s="9"/>
      <c r="X45" s="9"/>
      <c r="Y45" s="9"/>
      <c r="Z45" s="9"/>
    </row>
    <row r="46" ht="12.0" customHeight="1">
      <c r="A46" s="2"/>
      <c r="B46" s="2"/>
      <c r="C46" s="11"/>
      <c r="D46" s="14"/>
      <c r="E46" s="11"/>
      <c r="F46" s="11"/>
      <c r="G46" s="2"/>
      <c r="H46" s="2"/>
      <c r="I46" s="76"/>
      <c r="J46" s="63"/>
      <c r="K46" s="24"/>
      <c r="L46" s="2"/>
      <c r="M46" s="86"/>
      <c r="N46" s="2"/>
      <c r="O46" s="86"/>
      <c r="P46" s="2"/>
      <c r="Q46" s="2"/>
      <c r="R46" s="2"/>
      <c r="S46" s="2"/>
      <c r="T46" s="2"/>
      <c r="U46" s="2"/>
      <c r="V46" s="2"/>
      <c r="W46" s="9"/>
      <c r="X46" s="9"/>
      <c r="Y46" s="9"/>
      <c r="Z46" s="9"/>
    </row>
    <row r="47" ht="12.0" customHeight="1">
      <c r="A47" s="2"/>
      <c r="B47" s="2"/>
      <c r="C47" s="11"/>
      <c r="D47" s="14"/>
      <c r="E47" s="11"/>
      <c r="F47" s="11"/>
      <c r="G47" s="2"/>
      <c r="H47" s="2"/>
      <c r="I47" s="76"/>
      <c r="J47" s="63"/>
      <c r="K47" s="24"/>
      <c r="L47" s="2"/>
      <c r="M47" s="2"/>
      <c r="N47" s="2"/>
      <c r="O47" s="2"/>
      <c r="P47" s="2"/>
      <c r="Q47" s="2"/>
      <c r="R47" s="2"/>
      <c r="S47" s="2"/>
      <c r="T47" s="2" t="s">
        <v>228</v>
      </c>
      <c r="U47" s="2"/>
      <c r="V47" s="2"/>
      <c r="W47" s="9"/>
      <c r="X47" s="9"/>
      <c r="Y47" s="9"/>
      <c r="Z47" s="9"/>
    </row>
    <row r="48" ht="12.0" customHeight="1">
      <c r="A48" s="2"/>
      <c r="B48" s="2"/>
      <c r="C48" s="11"/>
      <c r="D48" s="14"/>
      <c r="E48" s="11"/>
      <c r="F48" s="11"/>
      <c r="G48" s="2"/>
      <c r="H48" s="2"/>
      <c r="I48" s="76"/>
      <c r="J48" s="23"/>
      <c r="K48" s="24"/>
      <c r="L48" s="2"/>
      <c r="M48" s="86"/>
      <c r="N48" s="2"/>
      <c r="O48" s="2"/>
      <c r="P48" s="2"/>
      <c r="Q48" s="2"/>
      <c r="R48" s="2"/>
      <c r="S48" s="2"/>
      <c r="T48" s="2"/>
      <c r="U48" s="2"/>
      <c r="V48" s="2"/>
      <c r="W48" s="9"/>
      <c r="X48" s="9"/>
      <c r="Y48" s="9"/>
      <c r="Z48" s="9"/>
    </row>
    <row r="49" ht="12.0" customHeight="1">
      <c r="A49" s="2"/>
      <c r="B49" s="2"/>
      <c r="C49" s="11"/>
      <c r="D49" s="14"/>
      <c r="E49" s="11"/>
      <c r="F49" s="11"/>
      <c r="G49" s="76"/>
      <c r="H49" s="2"/>
      <c r="I49" s="76"/>
      <c r="J49" s="63"/>
      <c r="K49" s="24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9"/>
      <c r="X49" s="9"/>
      <c r="Y49" s="9"/>
      <c r="Z49" s="9"/>
    </row>
    <row r="50" ht="12.0" customHeight="1">
      <c r="A50" s="2"/>
      <c r="B50" s="2"/>
      <c r="C50" s="11"/>
      <c r="D50" s="14"/>
      <c r="E50" s="11"/>
      <c r="F50" s="11"/>
      <c r="G50" s="2"/>
      <c r="H50" s="2"/>
      <c r="I50" s="76"/>
      <c r="J50" s="63"/>
      <c r="K50" s="24"/>
      <c r="L50" s="2"/>
      <c r="M50" s="86"/>
      <c r="N50" s="2"/>
      <c r="O50" s="86"/>
      <c r="P50" s="2"/>
      <c r="Q50" s="2"/>
      <c r="R50" s="2"/>
      <c r="S50" s="2"/>
      <c r="T50" s="2" t="s">
        <v>229</v>
      </c>
      <c r="U50" s="2"/>
      <c r="V50" s="2"/>
      <c r="W50" s="9"/>
      <c r="X50" s="9"/>
      <c r="Y50" s="9"/>
      <c r="Z50" s="9"/>
    </row>
    <row r="51" ht="12.0" customHeight="1">
      <c r="A51" s="2"/>
      <c r="B51" s="2"/>
      <c r="C51" s="11"/>
      <c r="D51" s="14"/>
      <c r="E51" s="11"/>
      <c r="F51" s="11"/>
      <c r="G51" s="2"/>
      <c r="H51" s="2"/>
      <c r="I51" s="76"/>
      <c r="J51" s="63"/>
      <c r="K51" s="24"/>
      <c r="L51" s="2"/>
      <c r="M51" s="86"/>
      <c r="N51" s="2"/>
      <c r="O51" s="2"/>
      <c r="P51" s="2"/>
      <c r="Q51" s="2"/>
      <c r="R51" s="2"/>
      <c r="S51" s="2"/>
      <c r="T51" s="2" t="s">
        <v>230</v>
      </c>
      <c r="U51" s="2"/>
      <c r="V51" s="2"/>
      <c r="W51" s="9"/>
      <c r="X51" s="9"/>
      <c r="Y51" s="9"/>
      <c r="Z51" s="9"/>
    </row>
    <row r="52" ht="12.0" customHeight="1">
      <c r="A52" s="2"/>
      <c r="B52" s="2"/>
      <c r="C52" s="11"/>
      <c r="D52" s="92"/>
      <c r="E52" s="11"/>
      <c r="F52" s="11"/>
      <c r="G52" s="2"/>
      <c r="H52" s="11"/>
      <c r="I52" s="76"/>
      <c r="J52" s="63"/>
      <c r="K52" s="24"/>
      <c r="L52" s="2"/>
      <c r="M52" s="2"/>
      <c r="N52" s="2"/>
      <c r="O52" s="2"/>
      <c r="P52" s="2"/>
      <c r="Q52" s="2"/>
      <c r="R52" s="2"/>
      <c r="S52" s="2"/>
      <c r="T52" s="2" t="s">
        <v>231</v>
      </c>
      <c r="U52" s="2"/>
      <c r="V52" s="2"/>
      <c r="W52" s="9"/>
      <c r="X52" s="9"/>
      <c r="Y52" s="9"/>
      <c r="Z52" s="9"/>
    </row>
    <row r="53" ht="12.0" customHeight="1">
      <c r="A53" s="2"/>
      <c r="B53" s="11"/>
      <c r="C53" s="2"/>
      <c r="D53" s="3"/>
      <c r="E53" s="2"/>
      <c r="F53" s="2"/>
      <c r="G53" s="2"/>
      <c r="H53" s="2"/>
      <c r="I53" s="2"/>
      <c r="J53" s="11"/>
      <c r="K53" s="24"/>
      <c r="L53" s="2"/>
      <c r="M53" s="2"/>
      <c r="N53" s="2"/>
      <c r="O53" s="2"/>
      <c r="P53" s="2"/>
      <c r="Q53" s="2"/>
      <c r="R53" s="2"/>
      <c r="S53" s="2"/>
      <c r="T53" s="2" t="s">
        <v>232</v>
      </c>
      <c r="U53" s="2"/>
      <c r="V53" s="2"/>
      <c r="W53" s="9"/>
      <c r="X53" s="9"/>
      <c r="Y53" s="9"/>
      <c r="Z53" s="9"/>
    </row>
    <row r="54" ht="12.0" customHeight="1">
      <c r="A54" s="2"/>
      <c r="B54" s="2"/>
      <c r="C54" s="11"/>
      <c r="D54" s="14"/>
      <c r="E54" s="11"/>
      <c r="F54" s="11"/>
      <c r="G54" s="2"/>
      <c r="H54" s="95"/>
      <c r="I54" s="76"/>
      <c r="J54" s="63"/>
      <c r="K54" s="24"/>
      <c r="L54" s="2"/>
      <c r="M54" s="53"/>
      <c r="N54" s="2"/>
      <c r="O54" s="53"/>
      <c r="P54" s="2"/>
      <c r="Q54" s="2"/>
      <c r="R54" s="2"/>
      <c r="S54" s="2"/>
      <c r="T54" s="2" t="s">
        <v>233</v>
      </c>
      <c r="U54" s="2"/>
      <c r="V54" s="2"/>
      <c r="W54" s="9"/>
      <c r="X54" s="9"/>
      <c r="Y54" s="9"/>
      <c r="Z54" s="9"/>
    </row>
    <row r="55" ht="12.0" customHeight="1">
      <c r="A55" s="2"/>
      <c r="B55" s="11"/>
      <c r="C55" s="11"/>
      <c r="D55" s="14"/>
      <c r="E55" s="11"/>
      <c r="F55" s="11"/>
      <c r="G55" s="2"/>
      <c r="H55" s="6"/>
      <c r="I55" s="76"/>
      <c r="J55" s="63"/>
      <c r="K55" s="24"/>
      <c r="L55" s="2"/>
      <c r="M55" s="53"/>
      <c r="N55" s="2"/>
      <c r="O55" s="53"/>
      <c r="P55" s="2"/>
      <c r="Q55" s="2"/>
      <c r="R55" s="2"/>
      <c r="S55" s="2"/>
      <c r="T55" s="2"/>
      <c r="U55" s="2"/>
      <c r="V55" s="2"/>
      <c r="W55" s="9"/>
      <c r="X55" s="9"/>
      <c r="Y55" s="9"/>
      <c r="Z55" s="9"/>
    </row>
    <row r="56" ht="12.0" customHeight="1">
      <c r="A56" s="2"/>
      <c r="B56" s="11"/>
      <c r="C56" s="11"/>
      <c r="D56" s="14"/>
      <c r="E56" s="11"/>
      <c r="F56" s="11"/>
      <c r="G56" s="2"/>
      <c r="H56" s="6"/>
      <c r="I56" s="76"/>
      <c r="J56" s="63"/>
      <c r="K56" s="24"/>
      <c r="L56" s="2"/>
      <c r="M56" s="53"/>
      <c r="N56" s="2"/>
      <c r="O56" s="53"/>
      <c r="P56" s="2"/>
      <c r="Q56" s="2"/>
      <c r="R56" s="2"/>
      <c r="S56" s="2"/>
      <c r="T56" s="2"/>
      <c r="U56" s="2"/>
      <c r="V56" s="2"/>
      <c r="W56" s="9"/>
      <c r="X56" s="9"/>
      <c r="Y56" s="9"/>
      <c r="Z56" s="9"/>
    </row>
    <row r="57" ht="12.0" customHeight="1">
      <c r="A57" s="2"/>
      <c r="B57" s="11"/>
      <c r="C57" s="11"/>
      <c r="D57" s="14"/>
      <c r="E57" s="11"/>
      <c r="F57" s="11"/>
      <c r="G57" s="2"/>
      <c r="H57" s="6"/>
      <c r="I57" s="76"/>
      <c r="J57" s="63"/>
      <c r="K57" s="24"/>
      <c r="L57" s="2"/>
      <c r="M57" s="53"/>
      <c r="N57" s="2"/>
      <c r="O57" s="53"/>
      <c r="P57" s="2"/>
      <c r="Q57" s="2"/>
      <c r="R57" s="2"/>
      <c r="S57" s="2"/>
      <c r="T57" s="2"/>
      <c r="U57" s="2"/>
      <c r="V57" s="2"/>
      <c r="W57" s="9"/>
      <c r="X57" s="9"/>
      <c r="Y57" s="9"/>
      <c r="Z57" s="9"/>
    </row>
    <row r="58" ht="12.0" customHeight="1">
      <c r="A58" s="2"/>
      <c r="B58" s="2"/>
      <c r="C58" s="11"/>
      <c r="D58" s="14"/>
      <c r="E58" s="11"/>
      <c r="F58" s="11"/>
      <c r="G58" s="2"/>
      <c r="H58" s="52"/>
      <c r="I58" s="76"/>
      <c r="J58" s="63"/>
      <c r="K58" s="24"/>
      <c r="L58" s="2"/>
      <c r="M58" s="53"/>
      <c r="N58" s="2"/>
      <c r="O58" s="53"/>
      <c r="P58" s="2"/>
      <c r="Q58" s="2"/>
      <c r="R58" s="2"/>
      <c r="S58" s="2"/>
      <c r="T58" s="2"/>
      <c r="U58" s="2"/>
      <c r="V58" s="2"/>
      <c r="W58" s="9"/>
      <c r="X58" s="9"/>
      <c r="Y58" s="9"/>
      <c r="Z58" s="9"/>
    </row>
    <row r="59" ht="12.0" customHeight="1">
      <c r="A59" s="2"/>
      <c r="B59" s="11"/>
      <c r="C59" s="11"/>
      <c r="D59" s="14"/>
      <c r="E59" s="11"/>
      <c r="F59" s="11"/>
      <c r="G59" s="2"/>
      <c r="H59" s="6"/>
      <c r="I59" s="76"/>
      <c r="J59" s="63"/>
      <c r="K59" s="24"/>
      <c r="L59" s="2"/>
      <c r="M59" s="53"/>
      <c r="N59" s="2"/>
      <c r="O59" s="53"/>
      <c r="P59" s="2"/>
      <c r="Q59" s="2"/>
      <c r="R59" s="2"/>
      <c r="S59" s="2"/>
      <c r="T59" s="2"/>
      <c r="U59" s="2"/>
      <c r="V59" s="2"/>
      <c r="W59" s="9"/>
      <c r="X59" s="9"/>
      <c r="Y59" s="9"/>
      <c r="Z59" s="9"/>
    </row>
    <row r="60" ht="12.0" customHeight="1">
      <c r="A60" s="2"/>
      <c r="B60" s="2"/>
      <c r="C60" s="11"/>
      <c r="D60" s="14"/>
      <c r="E60" s="11"/>
      <c r="F60" s="11"/>
      <c r="G60" s="2"/>
      <c r="H60" s="6"/>
      <c r="I60" s="76"/>
      <c r="J60" s="63"/>
      <c r="K60" s="24"/>
      <c r="L60" s="2"/>
      <c r="M60" s="53"/>
      <c r="N60" s="2"/>
      <c r="O60" s="53"/>
      <c r="P60" s="2"/>
      <c r="Q60" s="2"/>
      <c r="R60" s="2"/>
      <c r="S60" s="2"/>
      <c r="T60" s="2"/>
      <c r="U60" s="2"/>
      <c r="V60" s="2"/>
      <c r="W60" s="9"/>
      <c r="X60" s="9"/>
      <c r="Y60" s="9"/>
      <c r="Z60" s="9"/>
    </row>
    <row r="61" ht="12.0" customHeight="1">
      <c r="A61" s="2"/>
      <c r="B61" s="2"/>
      <c r="C61" s="11"/>
      <c r="D61" s="14"/>
      <c r="E61" s="11"/>
      <c r="F61" s="11"/>
      <c r="G61" s="2"/>
      <c r="H61" s="6"/>
      <c r="I61" s="76"/>
      <c r="J61" s="63"/>
      <c r="K61" s="24"/>
      <c r="L61" s="2"/>
      <c r="M61" s="53"/>
      <c r="N61" s="2"/>
      <c r="O61" s="53"/>
      <c r="P61" s="2"/>
      <c r="Q61" s="2"/>
      <c r="R61" s="2"/>
      <c r="S61" s="2"/>
      <c r="T61" s="2"/>
      <c r="U61" s="2"/>
      <c r="V61" s="2"/>
      <c r="W61" s="9"/>
      <c r="X61" s="9"/>
      <c r="Y61" s="9"/>
      <c r="Z61" s="9"/>
    </row>
    <row r="62" ht="12.0" customHeight="1">
      <c r="A62" s="2"/>
      <c r="B62" s="2"/>
      <c r="C62" s="2"/>
      <c r="D62" s="3"/>
      <c r="E62" s="2"/>
      <c r="F62" s="24"/>
      <c r="G62" s="2"/>
      <c r="H62" s="2"/>
      <c r="I62" s="2"/>
      <c r="J62" s="24"/>
      <c r="K62" s="24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9"/>
      <c r="X62" s="9"/>
      <c r="Y62" s="9"/>
      <c r="Z62" s="9"/>
    </row>
    <row r="63" ht="12.0" customHeight="1">
      <c r="A63" s="2"/>
      <c r="B63" s="2"/>
      <c r="C63" s="11"/>
      <c r="D63" s="14"/>
      <c r="E63" s="11"/>
      <c r="F63" s="11"/>
      <c r="G63" s="2"/>
      <c r="H63" s="2"/>
      <c r="I63" s="76"/>
      <c r="J63" s="23"/>
      <c r="K63" s="24"/>
      <c r="L63" s="2"/>
      <c r="M63" s="86"/>
      <c r="N63" s="2"/>
      <c r="O63" s="2"/>
      <c r="P63" s="2"/>
      <c r="Q63" s="2"/>
      <c r="R63" s="2"/>
      <c r="S63" s="2"/>
      <c r="T63" s="2"/>
      <c r="U63" s="2"/>
      <c r="V63" s="2"/>
      <c r="W63" s="9"/>
      <c r="X63" s="9"/>
      <c r="Y63" s="9"/>
      <c r="Z63" s="9"/>
    </row>
    <row r="64" ht="12.0" customHeight="1">
      <c r="A64" s="2"/>
      <c r="B64" s="2"/>
      <c r="C64" s="11"/>
      <c r="D64" s="14"/>
      <c r="E64" s="11"/>
      <c r="F64" s="11"/>
      <c r="G64" s="2"/>
      <c r="H64" s="2"/>
      <c r="I64" s="76"/>
      <c r="J64" s="63"/>
      <c r="K64" s="24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9"/>
      <c r="X64" s="9"/>
      <c r="Y64" s="9"/>
      <c r="Z64" s="9"/>
    </row>
    <row r="65" ht="12.0" customHeight="1">
      <c r="A65" s="2"/>
      <c r="B65" s="2"/>
      <c r="C65" s="11"/>
      <c r="D65" s="14"/>
      <c r="E65" s="11"/>
      <c r="F65" s="11"/>
      <c r="G65" s="2"/>
      <c r="H65" s="95"/>
      <c r="I65" s="76"/>
      <c r="J65" s="63"/>
      <c r="K65" s="24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9"/>
      <c r="X65" s="9"/>
      <c r="Y65" s="9"/>
      <c r="Z65" s="9"/>
    </row>
    <row r="66" ht="12.0" customHeight="1">
      <c r="A66" s="2"/>
      <c r="B66" s="2"/>
      <c r="C66" s="11"/>
      <c r="D66" s="104"/>
      <c r="E66" s="11"/>
      <c r="F66" s="11"/>
      <c r="G66" s="2"/>
      <c r="H66" s="2"/>
      <c r="I66" s="76"/>
      <c r="J66" s="63"/>
      <c r="K66" s="24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9"/>
      <c r="X66" s="9"/>
      <c r="Y66" s="9"/>
      <c r="Z66" s="9"/>
    </row>
    <row r="67" ht="12.0" customHeight="1">
      <c r="A67" s="2"/>
      <c r="B67" s="2"/>
      <c r="C67" s="11"/>
      <c r="D67" s="14"/>
      <c r="E67" s="11"/>
      <c r="F67" s="11"/>
      <c r="G67" s="2"/>
      <c r="H67" s="105"/>
      <c r="I67" s="76"/>
      <c r="J67" s="63"/>
      <c r="K67" s="24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9"/>
      <c r="X67" s="9"/>
      <c r="Y67" s="9"/>
      <c r="Z67" s="9"/>
    </row>
    <row r="68" ht="12.0" customHeight="1">
      <c r="A68" s="106"/>
      <c r="B68" s="2"/>
      <c r="C68" s="11"/>
      <c r="D68" s="14"/>
      <c r="E68" s="11"/>
      <c r="F68" s="11"/>
      <c r="G68" s="2"/>
      <c r="H68" s="2"/>
      <c r="I68" s="108"/>
      <c r="J68" s="11"/>
      <c r="K68" s="24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9"/>
      <c r="X68" s="9"/>
      <c r="Y68" s="9"/>
      <c r="Z68" s="9"/>
    </row>
    <row r="69" ht="12.0" customHeight="1">
      <c r="A69" s="2"/>
      <c r="B69" s="2"/>
      <c r="C69" s="2"/>
      <c r="D69" s="3"/>
      <c r="E69" s="2"/>
      <c r="F69" s="24"/>
      <c r="G69" s="2"/>
      <c r="H69" s="2"/>
      <c r="I69" s="2"/>
      <c r="J69" s="24"/>
      <c r="K69" s="24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9"/>
      <c r="X69" s="9"/>
      <c r="Y69" s="9"/>
      <c r="Z69" s="9"/>
    </row>
    <row r="70" ht="12.0" customHeight="1">
      <c r="A70" s="2"/>
      <c r="B70" s="2"/>
      <c r="C70" s="2"/>
      <c r="D70" s="3"/>
      <c r="E70" s="2"/>
      <c r="F70" s="24"/>
      <c r="G70" s="2"/>
      <c r="H70" s="2"/>
      <c r="I70" s="2"/>
      <c r="J70" s="24"/>
      <c r="K70" s="24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9"/>
      <c r="X70" s="9"/>
      <c r="Y70" s="9"/>
      <c r="Z70" s="9"/>
    </row>
    <row r="71" ht="12.0" customHeight="1">
      <c r="A71" s="2"/>
      <c r="B71" s="2"/>
      <c r="C71" s="2"/>
      <c r="D71" s="3"/>
      <c r="E71" s="2"/>
      <c r="F71" s="24"/>
      <c r="G71" s="2"/>
      <c r="H71" s="2"/>
      <c r="I71" s="2"/>
      <c r="J71" s="24"/>
      <c r="K71" s="24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9"/>
      <c r="X71" s="9"/>
      <c r="Y71" s="9"/>
      <c r="Z71" s="9"/>
    </row>
    <row r="72" ht="12.0" customHeight="1">
      <c r="A72" s="2"/>
      <c r="B72" s="2"/>
      <c r="C72" s="2"/>
      <c r="D72" s="3"/>
      <c r="E72" s="2"/>
      <c r="F72" s="24"/>
      <c r="G72" s="2"/>
      <c r="H72" s="2"/>
      <c r="I72" s="2"/>
      <c r="J72" s="24"/>
      <c r="K72" s="24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9"/>
      <c r="X72" s="9"/>
      <c r="Y72" s="9"/>
      <c r="Z72" s="9"/>
    </row>
    <row r="73" ht="12.0" customHeight="1">
      <c r="A73" s="2"/>
      <c r="B73" s="2"/>
      <c r="C73" s="2"/>
      <c r="D73" s="3"/>
      <c r="E73" s="2"/>
      <c r="F73" s="24"/>
      <c r="G73" s="2"/>
      <c r="H73" s="2"/>
      <c r="I73" s="2"/>
      <c r="J73" s="24"/>
      <c r="K73" s="24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9"/>
      <c r="X73" s="9"/>
      <c r="Y73" s="9"/>
      <c r="Z73" s="9"/>
    </row>
    <row r="74" ht="12.0" customHeight="1">
      <c r="A74" s="2"/>
      <c r="B74" s="2"/>
      <c r="C74" s="2"/>
      <c r="D74" s="3"/>
      <c r="E74" s="2"/>
      <c r="F74" s="24"/>
      <c r="G74" s="2"/>
      <c r="H74" s="2"/>
      <c r="I74" s="2"/>
      <c r="J74" s="2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9"/>
      <c r="X74" s="9"/>
      <c r="Y74" s="9"/>
      <c r="Z74" s="9"/>
    </row>
    <row r="75" ht="12.0" customHeight="1">
      <c r="A75" s="2"/>
      <c r="B75" s="2"/>
      <c r="C75" s="2"/>
      <c r="D75" s="3"/>
      <c r="E75" s="2"/>
      <c r="F75" s="2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9"/>
      <c r="X75" s="9"/>
      <c r="Y75" s="9"/>
      <c r="Z75" s="9"/>
    </row>
    <row r="76" ht="12.0" customHeight="1">
      <c r="A76" s="2"/>
      <c r="B76" s="2"/>
      <c r="C76" s="2"/>
      <c r="D76" s="3"/>
      <c r="E76" s="2"/>
      <c r="F76" s="2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9"/>
      <c r="X76" s="9"/>
      <c r="Y76" s="9"/>
      <c r="Z76" s="9"/>
    </row>
    <row r="77" ht="12.0" customHeight="1">
      <c r="A77" s="6"/>
      <c r="B77" s="2"/>
      <c r="C77" s="11"/>
      <c r="D77" s="14"/>
      <c r="E77" s="11"/>
      <c r="F77" s="11"/>
      <c r="G77" s="2"/>
      <c r="H77" s="6"/>
      <c r="I77" s="76"/>
      <c r="J77" s="63"/>
      <c r="K77" s="24"/>
      <c r="L77" s="2"/>
      <c r="M77" s="86">
        <v>44426.0</v>
      </c>
      <c r="N77" s="2" t="s">
        <v>236</v>
      </c>
      <c r="O77" s="86">
        <v>44427.0</v>
      </c>
      <c r="P77" s="2" t="s">
        <v>238</v>
      </c>
      <c r="Q77" s="2"/>
      <c r="R77" s="2"/>
      <c r="S77" s="2"/>
      <c r="T77" s="2"/>
      <c r="U77" s="2"/>
      <c r="V77" s="2"/>
      <c r="W77" s="9"/>
      <c r="X77" s="9"/>
      <c r="Y77" s="9"/>
      <c r="Z77" s="9"/>
    </row>
    <row r="78" ht="12.0" customHeight="1">
      <c r="A78" s="2"/>
      <c r="B78" s="2"/>
      <c r="C78" s="2"/>
      <c r="D78" s="3"/>
      <c r="E78" s="2"/>
      <c r="F78" s="2"/>
      <c r="G78" s="2"/>
      <c r="H78" s="6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9"/>
      <c r="X78" s="9"/>
      <c r="Y78" s="9"/>
      <c r="Z78" s="9"/>
    </row>
    <row r="79" ht="12.0" customHeight="1">
      <c r="A79" s="2"/>
      <c r="B79" s="2"/>
      <c r="C79" s="2"/>
      <c r="D79" s="3"/>
      <c r="E79" s="2"/>
      <c r="F79" s="2"/>
      <c r="G79" s="2"/>
      <c r="H79" s="6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9"/>
      <c r="X79" s="9"/>
      <c r="Y79" s="9"/>
      <c r="Z79" s="9"/>
    </row>
    <row r="80" ht="12.0" customHeight="1">
      <c r="A80" s="2"/>
      <c r="B80" s="2"/>
      <c r="C80" s="2"/>
      <c r="D80" s="3"/>
      <c r="E80" s="2"/>
      <c r="F80" s="2"/>
      <c r="G80" s="2"/>
      <c r="H80" s="6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9"/>
      <c r="X80" s="9"/>
      <c r="Y80" s="9"/>
      <c r="Z80" s="9"/>
    </row>
    <row r="81" ht="12.0" customHeight="1">
      <c r="A81" s="2"/>
      <c r="B81" s="2"/>
      <c r="C81" s="2"/>
      <c r="D81" s="3"/>
      <c r="E81" s="2"/>
      <c r="F81" s="2"/>
      <c r="G81" s="2"/>
      <c r="H81" s="6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9"/>
      <c r="X81" s="9"/>
      <c r="Y81" s="9"/>
      <c r="Z81" s="9"/>
    </row>
    <row r="82" ht="12.0" customHeight="1">
      <c r="A82" s="2"/>
      <c r="B82" s="2"/>
      <c r="C82" s="2"/>
      <c r="D82" s="3"/>
      <c r="E82" s="2"/>
      <c r="F82" s="2"/>
      <c r="G82" s="2"/>
      <c r="H82" s="6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9"/>
      <c r="X82" s="9"/>
      <c r="Y82" s="9"/>
      <c r="Z82" s="9"/>
    </row>
    <row r="83" ht="12.0" customHeight="1">
      <c r="A83" s="2"/>
      <c r="B83" s="2"/>
      <c r="C83" s="2"/>
      <c r="D83" s="3"/>
      <c r="E83" s="2"/>
      <c r="F83" s="2"/>
      <c r="G83" s="2"/>
      <c r="H83" s="6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9"/>
      <c r="X83" s="9"/>
      <c r="Y83" s="9"/>
      <c r="Z83" s="9"/>
    </row>
    <row r="84" ht="12.0" customHeight="1">
      <c r="A84" s="2"/>
      <c r="B84" s="2"/>
      <c r="C84" s="2"/>
      <c r="D84" s="3"/>
      <c r="E84" s="2"/>
      <c r="F84" s="2"/>
      <c r="G84" s="2"/>
      <c r="H84" s="6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9"/>
      <c r="X84" s="9"/>
      <c r="Y84" s="9"/>
      <c r="Z84" s="9"/>
    </row>
    <row r="85" ht="12.0" customHeight="1">
      <c r="A85" s="2"/>
      <c r="B85" s="2"/>
      <c r="C85" s="2"/>
      <c r="D85" s="3"/>
      <c r="E85" s="2"/>
      <c r="F85" s="2"/>
      <c r="G85" s="2"/>
      <c r="H85" s="6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9"/>
      <c r="X85" s="9"/>
      <c r="Y85" s="9"/>
      <c r="Z85" s="9"/>
    </row>
    <row r="86" ht="12.0" customHeight="1">
      <c r="A86" s="2"/>
      <c r="B86" s="2"/>
      <c r="C86" s="2"/>
      <c r="D86" s="3"/>
      <c r="E86" s="2"/>
      <c r="F86" s="2"/>
      <c r="G86" s="2"/>
      <c r="H86" s="6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9"/>
      <c r="X86" s="9"/>
      <c r="Y86" s="9"/>
      <c r="Z86" s="9"/>
    </row>
    <row r="87" ht="12.0" customHeight="1">
      <c r="A87" s="2"/>
      <c r="B87" s="2"/>
      <c r="C87" s="2"/>
      <c r="D87" s="3"/>
      <c r="E87" s="2"/>
      <c r="F87" s="2"/>
      <c r="G87" s="2"/>
      <c r="H87" s="6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9"/>
      <c r="X87" s="9"/>
      <c r="Y87" s="9"/>
      <c r="Z87" s="9"/>
    </row>
    <row r="88" ht="12.0" customHeight="1">
      <c r="A88" s="2"/>
      <c r="B88" s="2"/>
      <c r="C88" s="2"/>
      <c r="D88" s="3"/>
      <c r="E88" s="2"/>
      <c r="F88" s="2"/>
      <c r="G88" s="2"/>
      <c r="H88" s="6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9"/>
      <c r="X88" s="9"/>
      <c r="Y88" s="9"/>
      <c r="Z88" s="9"/>
    </row>
    <row r="89" ht="12.0" customHeight="1">
      <c r="A89" s="2"/>
      <c r="B89" s="2"/>
      <c r="C89" s="2"/>
      <c r="D89" s="3"/>
      <c r="E89" s="2"/>
      <c r="F89" s="2"/>
      <c r="G89" s="2"/>
      <c r="H89" s="6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9"/>
      <c r="X89" s="9"/>
      <c r="Y89" s="9"/>
      <c r="Z89" s="9"/>
    </row>
    <row r="90" ht="12.0" customHeight="1">
      <c r="A90" s="2"/>
      <c r="B90" s="2"/>
      <c r="C90" s="2"/>
      <c r="D90" s="3"/>
      <c r="E90" s="2"/>
      <c r="F90" s="2"/>
      <c r="G90" s="2"/>
      <c r="H90" s="6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9"/>
      <c r="X90" s="9"/>
      <c r="Y90" s="9"/>
      <c r="Z90" s="9"/>
    </row>
    <row r="91" ht="12.0" customHeight="1">
      <c r="A91" s="2"/>
      <c r="B91" s="2"/>
      <c r="C91" s="2"/>
      <c r="D91" s="3"/>
      <c r="E91" s="2"/>
      <c r="F91" s="2"/>
      <c r="G91" s="2"/>
      <c r="H91" s="6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9"/>
      <c r="X91" s="9"/>
      <c r="Y91" s="9"/>
      <c r="Z91" s="9"/>
    </row>
    <row r="92" ht="12.0" customHeight="1">
      <c r="A92" s="2"/>
      <c r="B92" s="2"/>
      <c r="C92" s="2"/>
      <c r="D92" s="3"/>
      <c r="E92" s="2"/>
      <c r="F92" s="2"/>
      <c r="G92" s="2"/>
      <c r="H92" s="6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9"/>
      <c r="X92" s="9"/>
      <c r="Y92" s="9"/>
      <c r="Z92" s="9"/>
    </row>
    <row r="93" ht="12.0" customHeight="1">
      <c r="A93" s="2"/>
      <c r="B93" s="2"/>
      <c r="C93" s="2"/>
      <c r="D93" s="3"/>
      <c r="E93" s="2"/>
      <c r="F93" s="2"/>
      <c r="G93" s="2"/>
      <c r="H93" s="6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9"/>
      <c r="X93" s="9"/>
      <c r="Y93" s="9"/>
      <c r="Z93" s="9"/>
    </row>
    <row r="94" ht="12.0" customHeight="1">
      <c r="A94" s="2"/>
      <c r="B94" s="2"/>
      <c r="C94" s="2"/>
      <c r="D94" s="3"/>
      <c r="E94" s="2"/>
      <c r="F94" s="2"/>
      <c r="G94" s="2"/>
      <c r="H94" s="6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9"/>
      <c r="X94" s="9"/>
      <c r="Y94" s="9"/>
      <c r="Z94" s="9"/>
    </row>
    <row r="95" ht="12.0" customHeight="1">
      <c r="A95" s="2"/>
      <c r="B95" s="2"/>
      <c r="C95" s="2"/>
      <c r="D95" s="3"/>
      <c r="E95" s="2"/>
      <c r="F95" s="2"/>
      <c r="G95" s="2"/>
      <c r="H95" s="6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9"/>
      <c r="X95" s="9"/>
      <c r="Y95" s="9"/>
      <c r="Z95" s="9"/>
    </row>
    <row r="96" ht="12.0" customHeight="1">
      <c r="A96" s="2"/>
      <c r="B96" s="2"/>
      <c r="C96" s="2"/>
      <c r="D96" s="3"/>
      <c r="E96" s="2"/>
      <c r="F96" s="2"/>
      <c r="G96" s="2"/>
      <c r="H96" s="6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9"/>
      <c r="X96" s="9"/>
      <c r="Y96" s="9"/>
      <c r="Z96" s="9"/>
    </row>
    <row r="97" ht="12.0" customHeight="1">
      <c r="A97" s="2"/>
      <c r="B97" s="2"/>
      <c r="C97" s="2"/>
      <c r="D97" s="3"/>
      <c r="E97" s="2"/>
      <c r="F97" s="2"/>
      <c r="G97" s="2"/>
      <c r="H97" s="6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9"/>
      <c r="X97" s="9"/>
      <c r="Y97" s="9"/>
      <c r="Z97" s="9"/>
    </row>
    <row r="98" ht="12.0" customHeight="1">
      <c r="A98" s="2"/>
      <c r="B98" s="2"/>
      <c r="C98" s="2"/>
      <c r="D98" s="3"/>
      <c r="E98" s="2"/>
      <c r="F98" s="2"/>
      <c r="G98" s="2"/>
      <c r="H98" s="6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9"/>
      <c r="X98" s="9"/>
      <c r="Y98" s="9"/>
      <c r="Z98" s="9"/>
    </row>
    <row r="99" ht="12.0" customHeight="1">
      <c r="A99" s="2"/>
      <c r="B99" s="2"/>
      <c r="C99" s="2"/>
      <c r="D99" s="3"/>
      <c r="E99" s="2"/>
      <c r="F99" s="2"/>
      <c r="G99" s="2"/>
      <c r="H99" s="6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9"/>
      <c r="X99" s="9"/>
      <c r="Y99" s="9"/>
      <c r="Z99" s="9"/>
    </row>
    <row r="100" ht="12.0" customHeight="1">
      <c r="A100" s="2"/>
      <c r="B100" s="2"/>
      <c r="C100" s="2"/>
      <c r="D100" s="3"/>
      <c r="E100" s="2"/>
      <c r="F100" s="2"/>
      <c r="G100" s="2"/>
      <c r="H100" s="6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9"/>
      <c r="X100" s="9"/>
      <c r="Y100" s="9"/>
      <c r="Z100" s="9"/>
    </row>
    <row r="101" ht="12.0" customHeight="1">
      <c r="A101" s="2"/>
      <c r="B101" s="2"/>
      <c r="C101" s="2"/>
      <c r="D101" s="3"/>
      <c r="E101" s="2"/>
      <c r="F101" s="2"/>
      <c r="G101" s="2"/>
      <c r="H101" s="6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9"/>
      <c r="X101" s="9"/>
      <c r="Y101" s="9"/>
      <c r="Z101" s="9"/>
    </row>
    <row r="102" ht="12.0" customHeight="1">
      <c r="A102" s="2"/>
      <c r="B102" s="2"/>
      <c r="C102" s="2"/>
      <c r="D102" s="3"/>
      <c r="E102" s="2"/>
      <c r="F102" s="2"/>
      <c r="G102" s="2"/>
      <c r="H102" s="6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9"/>
      <c r="X102" s="9"/>
      <c r="Y102" s="9"/>
      <c r="Z102" s="9"/>
    </row>
    <row r="103" ht="12.0" customHeight="1">
      <c r="A103" s="2"/>
      <c r="B103" s="2"/>
      <c r="C103" s="2"/>
      <c r="D103" s="3"/>
      <c r="E103" s="2"/>
      <c r="F103" s="2"/>
      <c r="G103" s="2"/>
      <c r="H103" s="6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9"/>
      <c r="X103" s="9"/>
      <c r="Y103" s="9"/>
      <c r="Z103" s="9"/>
    </row>
    <row r="104" ht="12.0" customHeight="1">
      <c r="A104" s="2"/>
      <c r="B104" s="2"/>
      <c r="C104" s="2"/>
      <c r="D104" s="3"/>
      <c r="E104" s="2"/>
      <c r="F104" s="2"/>
      <c r="G104" s="2"/>
      <c r="H104" s="6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9"/>
      <c r="X104" s="9"/>
      <c r="Y104" s="9"/>
      <c r="Z104" s="9"/>
    </row>
    <row r="105" ht="12.0" customHeight="1">
      <c r="A105" s="2"/>
      <c r="B105" s="2"/>
      <c r="C105" s="2"/>
      <c r="D105" s="3"/>
      <c r="E105" s="2"/>
      <c r="F105" s="2"/>
      <c r="G105" s="2"/>
      <c r="H105" s="6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9"/>
      <c r="X105" s="9"/>
      <c r="Y105" s="9"/>
      <c r="Z105" s="9"/>
    </row>
    <row r="106" ht="12.0" customHeight="1">
      <c r="A106" s="2"/>
      <c r="B106" s="2"/>
      <c r="C106" s="2"/>
      <c r="D106" s="3"/>
      <c r="E106" s="2"/>
      <c r="F106" s="2"/>
      <c r="G106" s="2"/>
      <c r="H106" s="6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9"/>
      <c r="X106" s="9"/>
      <c r="Y106" s="9"/>
      <c r="Z106" s="9"/>
    </row>
    <row r="107" ht="12.0" customHeight="1">
      <c r="A107" s="2"/>
      <c r="B107" s="2"/>
      <c r="C107" s="2"/>
      <c r="D107" s="3"/>
      <c r="E107" s="2"/>
      <c r="F107" s="2"/>
      <c r="G107" s="2"/>
      <c r="H107" s="6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9"/>
      <c r="X107" s="9"/>
      <c r="Y107" s="9"/>
      <c r="Z107" s="9"/>
    </row>
    <row r="108" ht="12.0" customHeight="1">
      <c r="A108" s="2"/>
      <c r="B108" s="2"/>
      <c r="C108" s="2"/>
      <c r="D108" s="3"/>
      <c r="E108" s="2"/>
      <c r="F108" s="2"/>
      <c r="G108" s="2"/>
      <c r="H108" s="6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9"/>
      <c r="X108" s="9"/>
      <c r="Y108" s="9"/>
      <c r="Z108" s="9"/>
    </row>
    <row r="109" ht="12.0" customHeight="1">
      <c r="A109" s="2"/>
      <c r="B109" s="2"/>
      <c r="C109" s="2"/>
      <c r="D109" s="3"/>
      <c r="E109" s="2"/>
      <c r="F109" s="2"/>
      <c r="G109" s="2"/>
      <c r="H109" s="6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9"/>
      <c r="X109" s="9"/>
      <c r="Y109" s="9"/>
      <c r="Z109" s="9"/>
    </row>
    <row r="110" ht="12.0" customHeight="1">
      <c r="A110" s="2"/>
      <c r="B110" s="2"/>
      <c r="C110" s="2"/>
      <c r="D110" s="3"/>
      <c r="E110" s="2"/>
      <c r="F110" s="2"/>
      <c r="G110" s="2"/>
      <c r="H110" s="6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9"/>
      <c r="X110" s="9"/>
      <c r="Y110" s="9"/>
      <c r="Z110" s="9"/>
    </row>
    <row r="111" ht="12.0" customHeight="1">
      <c r="A111" s="2"/>
      <c r="B111" s="2"/>
      <c r="C111" s="2"/>
      <c r="D111" s="3"/>
      <c r="E111" s="2"/>
      <c r="F111" s="2"/>
      <c r="G111" s="2"/>
      <c r="H111" s="6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9"/>
      <c r="X111" s="9"/>
      <c r="Y111" s="9"/>
      <c r="Z111" s="9"/>
    </row>
    <row r="112" ht="12.0" customHeight="1">
      <c r="A112" s="2"/>
      <c r="B112" s="2"/>
      <c r="C112" s="2"/>
      <c r="D112" s="3"/>
      <c r="E112" s="2"/>
      <c r="F112" s="2"/>
      <c r="G112" s="2"/>
      <c r="H112" s="6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9"/>
      <c r="X112" s="9"/>
      <c r="Y112" s="9"/>
      <c r="Z112" s="9"/>
    </row>
    <row r="113" ht="12.0" customHeight="1">
      <c r="A113" s="2"/>
      <c r="B113" s="2"/>
      <c r="C113" s="2"/>
      <c r="D113" s="3"/>
      <c r="E113" s="2"/>
      <c r="F113" s="2"/>
      <c r="G113" s="2"/>
      <c r="H113" s="6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9"/>
      <c r="X113" s="9"/>
      <c r="Y113" s="9"/>
      <c r="Z113" s="9"/>
    </row>
    <row r="114" ht="12.0" customHeight="1">
      <c r="A114" s="2"/>
      <c r="B114" s="2"/>
      <c r="C114" s="2"/>
      <c r="D114" s="3"/>
      <c r="E114" s="2"/>
      <c r="F114" s="2"/>
      <c r="G114" s="2"/>
      <c r="H114" s="6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9"/>
      <c r="X114" s="9"/>
      <c r="Y114" s="9"/>
      <c r="Z114" s="9"/>
    </row>
    <row r="115" ht="12.0" customHeight="1">
      <c r="A115" s="2"/>
      <c r="B115" s="2"/>
      <c r="C115" s="2"/>
      <c r="D115" s="3"/>
      <c r="E115" s="2"/>
      <c r="F115" s="2"/>
      <c r="G115" s="2"/>
      <c r="H115" s="6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9"/>
      <c r="X115" s="9"/>
      <c r="Y115" s="9"/>
      <c r="Z115" s="9"/>
    </row>
    <row r="116" ht="12.0" customHeight="1">
      <c r="A116" s="2"/>
      <c r="B116" s="2"/>
      <c r="C116" s="2"/>
      <c r="D116" s="3"/>
      <c r="E116" s="2"/>
      <c r="F116" s="2"/>
      <c r="G116" s="2"/>
      <c r="H116" s="6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9"/>
      <c r="X116" s="9"/>
      <c r="Y116" s="9"/>
      <c r="Z116" s="9"/>
    </row>
    <row r="117" ht="12.0" customHeight="1">
      <c r="A117" s="2"/>
      <c r="B117" s="2"/>
      <c r="C117" s="2"/>
      <c r="D117" s="3"/>
      <c r="E117" s="2"/>
      <c r="F117" s="2"/>
      <c r="G117" s="2"/>
      <c r="H117" s="6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9"/>
      <c r="X117" s="9"/>
      <c r="Y117" s="9"/>
      <c r="Z117" s="9"/>
    </row>
    <row r="118" ht="12.0" customHeight="1">
      <c r="A118" s="2"/>
      <c r="B118" s="2"/>
      <c r="C118" s="2"/>
      <c r="D118" s="3"/>
      <c r="E118" s="2"/>
      <c r="F118" s="2"/>
      <c r="G118" s="2"/>
      <c r="H118" s="6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9"/>
      <c r="X118" s="9"/>
      <c r="Y118" s="9"/>
      <c r="Z118" s="9"/>
    </row>
    <row r="119" ht="12.0" customHeight="1">
      <c r="A119" s="2"/>
      <c r="B119" s="2"/>
      <c r="C119" s="2"/>
      <c r="D119" s="3"/>
      <c r="E119" s="2"/>
      <c r="F119" s="2"/>
      <c r="G119" s="2"/>
      <c r="H119" s="6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9"/>
      <c r="X119" s="9"/>
      <c r="Y119" s="9"/>
      <c r="Z119" s="9"/>
    </row>
    <row r="120" ht="12.0" customHeight="1">
      <c r="A120" s="2"/>
      <c r="B120" s="2"/>
      <c r="C120" s="2"/>
      <c r="D120" s="3"/>
      <c r="E120" s="2"/>
      <c r="F120" s="2"/>
      <c r="G120" s="2"/>
      <c r="H120" s="6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9"/>
      <c r="X120" s="9"/>
      <c r="Y120" s="9"/>
      <c r="Z120" s="9"/>
    </row>
    <row r="121" ht="12.0" customHeight="1">
      <c r="A121" s="2"/>
      <c r="B121" s="2"/>
      <c r="C121" s="2"/>
      <c r="D121" s="3"/>
      <c r="E121" s="2"/>
      <c r="F121" s="2"/>
      <c r="G121" s="2"/>
      <c r="H121" s="6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9"/>
      <c r="X121" s="9"/>
      <c r="Y121" s="9"/>
      <c r="Z121" s="9"/>
    </row>
    <row r="122" ht="12.0" customHeight="1">
      <c r="A122" s="2"/>
      <c r="B122" s="2"/>
      <c r="C122" s="2"/>
      <c r="D122" s="3"/>
      <c r="E122" s="2"/>
      <c r="F122" s="2"/>
      <c r="G122" s="2"/>
      <c r="H122" s="6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9"/>
      <c r="X122" s="9"/>
      <c r="Y122" s="9"/>
      <c r="Z122" s="9"/>
    </row>
    <row r="123" ht="12.0" customHeight="1">
      <c r="A123" s="2"/>
      <c r="B123" s="2"/>
      <c r="C123" s="2"/>
      <c r="D123" s="3"/>
      <c r="E123" s="2"/>
      <c r="F123" s="2"/>
      <c r="G123" s="2"/>
      <c r="H123" s="6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9"/>
      <c r="X123" s="9"/>
      <c r="Y123" s="9"/>
      <c r="Z123" s="9"/>
    </row>
    <row r="124" ht="12.0" customHeight="1">
      <c r="A124" s="2"/>
      <c r="B124" s="2"/>
      <c r="C124" s="2"/>
      <c r="D124" s="3"/>
      <c r="E124" s="2"/>
      <c r="F124" s="2"/>
      <c r="G124" s="2"/>
      <c r="H124" s="6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9"/>
      <c r="X124" s="9"/>
      <c r="Y124" s="9"/>
      <c r="Z124" s="9"/>
    </row>
    <row r="125" ht="12.0" customHeight="1">
      <c r="A125" s="2"/>
      <c r="B125" s="2"/>
      <c r="C125" s="2"/>
      <c r="D125" s="3"/>
      <c r="E125" s="2"/>
      <c r="F125" s="2"/>
      <c r="G125" s="2"/>
      <c r="H125" s="6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9"/>
      <c r="X125" s="9"/>
      <c r="Y125" s="9"/>
      <c r="Z125" s="9"/>
    </row>
    <row r="126" ht="12.0" customHeight="1">
      <c r="A126" s="2"/>
      <c r="B126" s="2"/>
      <c r="C126" s="2"/>
      <c r="D126" s="3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9"/>
      <c r="X126" s="9"/>
      <c r="Y126" s="9"/>
      <c r="Z126" s="9"/>
    </row>
    <row r="127" ht="12.0" customHeight="1">
      <c r="A127" s="2"/>
      <c r="B127" s="2"/>
      <c r="C127" s="2"/>
      <c r="D127" s="3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9"/>
      <c r="X127" s="9"/>
      <c r="Y127" s="9"/>
      <c r="Z127" s="9"/>
    </row>
    <row r="128" ht="12.0" customHeight="1">
      <c r="A128" s="2"/>
      <c r="B128" s="2"/>
      <c r="C128" s="2"/>
      <c r="D128" s="3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9"/>
      <c r="X128" s="9"/>
      <c r="Y128" s="9"/>
      <c r="Z128" s="9"/>
    </row>
    <row r="129" ht="12.0" customHeight="1">
      <c r="A129" s="2"/>
      <c r="B129" s="2"/>
      <c r="C129" s="2"/>
      <c r="D129" s="3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9"/>
      <c r="X129" s="9"/>
      <c r="Y129" s="9"/>
      <c r="Z129" s="9"/>
    </row>
    <row r="130" ht="12.0" customHeight="1">
      <c r="A130" s="2"/>
      <c r="B130" s="2"/>
      <c r="C130" s="2"/>
      <c r="D130" s="3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9"/>
      <c r="X130" s="9"/>
      <c r="Y130" s="9"/>
      <c r="Z130" s="9"/>
    </row>
    <row r="131" ht="12.0" customHeight="1">
      <c r="A131" s="2"/>
      <c r="B131" s="2"/>
      <c r="C131" s="2"/>
      <c r="D131" s="3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9"/>
      <c r="X131" s="9"/>
      <c r="Y131" s="9"/>
      <c r="Z131" s="9"/>
    </row>
    <row r="132" ht="12.0" customHeight="1">
      <c r="A132" s="2"/>
      <c r="B132" s="2"/>
      <c r="C132" s="2"/>
      <c r="D132" s="3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9"/>
      <c r="X132" s="9"/>
      <c r="Y132" s="9"/>
      <c r="Z132" s="9"/>
    </row>
    <row r="133" ht="12.0" customHeight="1">
      <c r="A133" s="2"/>
      <c r="B133" s="2"/>
      <c r="C133" s="2"/>
      <c r="D133" s="3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9"/>
      <c r="X133" s="9"/>
      <c r="Y133" s="9"/>
      <c r="Z133" s="9"/>
    </row>
    <row r="134" ht="12.0" customHeight="1">
      <c r="A134" s="2"/>
      <c r="B134" s="2"/>
      <c r="C134" s="2"/>
      <c r="D134" s="3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9"/>
      <c r="X134" s="9"/>
      <c r="Y134" s="9"/>
      <c r="Z134" s="9"/>
    </row>
    <row r="135" ht="12.0" customHeight="1">
      <c r="A135" s="2"/>
      <c r="B135" s="2"/>
      <c r="C135" s="2"/>
      <c r="D135" s="3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9"/>
      <c r="X135" s="9"/>
      <c r="Y135" s="9"/>
      <c r="Z135" s="9"/>
    </row>
    <row r="136" ht="12.0" customHeight="1">
      <c r="A136" s="2"/>
      <c r="B136" s="2"/>
      <c r="C136" s="2"/>
      <c r="D136" s="3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9"/>
      <c r="X136" s="9"/>
      <c r="Y136" s="9"/>
      <c r="Z136" s="9"/>
    </row>
    <row r="137" ht="12.0" customHeight="1">
      <c r="A137" s="2"/>
      <c r="B137" s="2"/>
      <c r="C137" s="2"/>
      <c r="D137" s="3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9"/>
      <c r="X137" s="9"/>
      <c r="Y137" s="9"/>
      <c r="Z137" s="9"/>
    </row>
    <row r="138" ht="12.0" customHeight="1">
      <c r="A138" s="2"/>
      <c r="B138" s="2"/>
      <c r="C138" s="2"/>
      <c r="D138" s="3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9"/>
      <c r="X138" s="9"/>
      <c r="Y138" s="9"/>
      <c r="Z138" s="9"/>
    </row>
    <row r="139" ht="12.0" customHeight="1">
      <c r="A139" s="2"/>
      <c r="B139" s="2"/>
      <c r="C139" s="2"/>
      <c r="D139" s="3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9"/>
      <c r="X139" s="9"/>
      <c r="Y139" s="9"/>
      <c r="Z139" s="9"/>
    </row>
    <row r="140" ht="12.0" customHeight="1">
      <c r="A140" s="2"/>
      <c r="B140" s="2"/>
      <c r="C140" s="2"/>
      <c r="D140" s="3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9"/>
      <c r="X140" s="9"/>
      <c r="Y140" s="9"/>
      <c r="Z140" s="9"/>
    </row>
    <row r="141" ht="12.0" customHeight="1">
      <c r="A141" s="2"/>
      <c r="B141" s="2"/>
      <c r="C141" s="2"/>
      <c r="D141" s="3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9"/>
      <c r="X141" s="9"/>
      <c r="Y141" s="9"/>
      <c r="Z141" s="9"/>
    </row>
    <row r="142" ht="12.0" customHeight="1">
      <c r="A142" s="2"/>
      <c r="B142" s="2"/>
      <c r="C142" s="2"/>
      <c r="D142" s="3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9"/>
      <c r="X142" s="9"/>
      <c r="Y142" s="9"/>
      <c r="Z142" s="9"/>
    </row>
    <row r="143" ht="12.0" customHeight="1">
      <c r="A143" s="2"/>
      <c r="B143" s="2"/>
      <c r="C143" s="2"/>
      <c r="D143" s="3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9"/>
      <c r="X143" s="9"/>
      <c r="Y143" s="9"/>
      <c r="Z143" s="9"/>
    </row>
    <row r="144" ht="12.0" customHeight="1">
      <c r="A144" s="2"/>
      <c r="B144" s="2"/>
      <c r="C144" s="2"/>
      <c r="D144" s="3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9"/>
      <c r="X144" s="9"/>
      <c r="Y144" s="9"/>
      <c r="Z144" s="9"/>
    </row>
    <row r="145" ht="12.0" customHeight="1">
      <c r="A145" s="2"/>
      <c r="B145" s="2"/>
      <c r="C145" s="2"/>
      <c r="D145" s="3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9"/>
      <c r="X145" s="9"/>
      <c r="Y145" s="9"/>
      <c r="Z145" s="9"/>
    </row>
    <row r="146" ht="12.0" customHeight="1">
      <c r="A146" s="2"/>
      <c r="B146" s="2"/>
      <c r="C146" s="2"/>
      <c r="D146" s="3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9"/>
      <c r="X146" s="9"/>
      <c r="Y146" s="9"/>
      <c r="Z146" s="9"/>
    </row>
    <row r="147" ht="12.0" customHeight="1">
      <c r="A147" s="2"/>
      <c r="B147" s="2"/>
      <c r="C147" s="2"/>
      <c r="D147" s="3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9"/>
      <c r="X147" s="9"/>
      <c r="Y147" s="9"/>
      <c r="Z147" s="9"/>
    </row>
    <row r="148" ht="12.0" customHeight="1">
      <c r="A148" s="2"/>
      <c r="B148" s="2"/>
      <c r="C148" s="2"/>
      <c r="D148" s="3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9"/>
      <c r="X148" s="9"/>
      <c r="Y148" s="9"/>
      <c r="Z148" s="9"/>
    </row>
    <row r="149" ht="12.0" customHeight="1">
      <c r="A149" s="2"/>
      <c r="B149" s="2"/>
      <c r="C149" s="2"/>
      <c r="D149" s="3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9"/>
      <c r="X149" s="9"/>
      <c r="Y149" s="9"/>
      <c r="Z149" s="9"/>
    </row>
    <row r="150" ht="12.0" customHeight="1">
      <c r="A150" s="2"/>
      <c r="B150" s="2"/>
      <c r="C150" s="2"/>
      <c r="D150" s="3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9"/>
      <c r="X150" s="9"/>
      <c r="Y150" s="9"/>
      <c r="Z150" s="9"/>
    </row>
    <row r="151" ht="12.0" customHeight="1">
      <c r="A151" s="2"/>
      <c r="B151" s="2"/>
      <c r="C151" s="2"/>
      <c r="D151" s="3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9"/>
      <c r="X151" s="9"/>
      <c r="Y151" s="9"/>
      <c r="Z151" s="9"/>
    </row>
    <row r="152" ht="12.0" customHeight="1">
      <c r="A152" s="2"/>
      <c r="B152" s="2"/>
      <c r="C152" s="2"/>
      <c r="D152" s="3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9"/>
      <c r="X152" s="9"/>
      <c r="Y152" s="9"/>
      <c r="Z152" s="9"/>
    </row>
    <row r="153" ht="12.0" customHeight="1">
      <c r="A153" s="2"/>
      <c r="B153" s="2"/>
      <c r="C153" s="2"/>
      <c r="D153" s="3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9"/>
      <c r="X153" s="9"/>
      <c r="Y153" s="9"/>
      <c r="Z153" s="9"/>
    </row>
    <row r="154" ht="12.0" customHeight="1">
      <c r="A154" s="2"/>
      <c r="B154" s="2"/>
      <c r="C154" s="2"/>
      <c r="D154" s="3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9"/>
      <c r="X154" s="9"/>
      <c r="Y154" s="9"/>
      <c r="Z154" s="9"/>
    </row>
    <row r="155" ht="12.0" customHeight="1">
      <c r="A155" s="2"/>
      <c r="B155" s="2"/>
      <c r="C155" s="2"/>
      <c r="D155" s="3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9"/>
      <c r="X155" s="9"/>
      <c r="Y155" s="9"/>
      <c r="Z155" s="9"/>
    </row>
    <row r="156" ht="12.0" customHeight="1">
      <c r="A156" s="2"/>
      <c r="B156" s="2"/>
      <c r="C156" s="2"/>
      <c r="D156" s="3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9"/>
      <c r="X156" s="9"/>
      <c r="Y156" s="9"/>
      <c r="Z156" s="9"/>
    </row>
    <row r="157" ht="12.0" customHeight="1">
      <c r="A157" s="2"/>
      <c r="B157" s="2"/>
      <c r="C157" s="2"/>
      <c r="D157" s="3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9"/>
      <c r="X157" s="9"/>
      <c r="Y157" s="9"/>
      <c r="Z157" s="9"/>
    </row>
    <row r="158" ht="12.0" customHeight="1">
      <c r="A158" s="2"/>
      <c r="B158" s="2"/>
      <c r="C158" s="2"/>
      <c r="D158" s="3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9"/>
      <c r="X158" s="9"/>
      <c r="Y158" s="9"/>
      <c r="Z158" s="9"/>
    </row>
    <row r="159" ht="12.0" customHeight="1">
      <c r="A159" s="2"/>
      <c r="B159" s="2"/>
      <c r="C159" s="2"/>
      <c r="D159" s="3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9"/>
      <c r="X159" s="9"/>
      <c r="Y159" s="9"/>
      <c r="Z159" s="9"/>
    </row>
    <row r="160" ht="12.0" customHeight="1">
      <c r="A160" s="2"/>
      <c r="B160" s="2"/>
      <c r="C160" s="2"/>
      <c r="D160" s="3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9"/>
      <c r="X160" s="9"/>
      <c r="Y160" s="9"/>
      <c r="Z160" s="9"/>
    </row>
    <row r="161" ht="12.0" customHeight="1">
      <c r="A161" s="2"/>
      <c r="B161" s="2"/>
      <c r="C161" s="2"/>
      <c r="D161" s="3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9"/>
      <c r="X161" s="9"/>
      <c r="Y161" s="9"/>
      <c r="Z161" s="9"/>
    </row>
    <row r="162" ht="12.0" customHeight="1">
      <c r="A162" s="2"/>
      <c r="B162" s="2"/>
      <c r="C162" s="2"/>
      <c r="D162" s="3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9"/>
      <c r="X162" s="9"/>
      <c r="Y162" s="9"/>
      <c r="Z162" s="9"/>
    </row>
    <row r="163" ht="12.0" customHeight="1">
      <c r="A163" s="2"/>
      <c r="B163" s="2"/>
      <c r="C163" s="2"/>
      <c r="D163" s="3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9"/>
      <c r="X163" s="9"/>
      <c r="Y163" s="9"/>
      <c r="Z163" s="9"/>
    </row>
    <row r="164" ht="12.0" customHeight="1">
      <c r="A164" s="2"/>
      <c r="B164" s="2"/>
      <c r="C164" s="2"/>
      <c r="D164" s="3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9"/>
      <c r="X164" s="9"/>
      <c r="Y164" s="9"/>
      <c r="Z164" s="9"/>
    </row>
    <row r="165" ht="12.0" customHeight="1">
      <c r="A165" s="2"/>
      <c r="B165" s="2"/>
      <c r="C165" s="2"/>
      <c r="D165" s="3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9"/>
      <c r="X165" s="9"/>
      <c r="Y165" s="9"/>
      <c r="Z165" s="9"/>
    </row>
    <row r="166" ht="12.0" customHeight="1">
      <c r="A166" s="2"/>
      <c r="B166" s="2"/>
      <c r="C166" s="2"/>
      <c r="D166" s="3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9"/>
      <c r="X166" s="9"/>
      <c r="Y166" s="9"/>
      <c r="Z166" s="9"/>
    </row>
    <row r="167" ht="12.0" customHeight="1">
      <c r="A167" s="2"/>
      <c r="B167" s="2"/>
      <c r="C167" s="2"/>
      <c r="D167" s="3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9"/>
      <c r="X167" s="9"/>
      <c r="Y167" s="9"/>
      <c r="Z167" s="9"/>
    </row>
    <row r="168" ht="12.0" customHeight="1">
      <c r="A168" s="2"/>
      <c r="B168" s="2"/>
      <c r="C168" s="2"/>
      <c r="D168" s="3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9"/>
      <c r="X168" s="9"/>
      <c r="Y168" s="9"/>
      <c r="Z168" s="9"/>
    </row>
    <row r="169" ht="12.0" customHeight="1">
      <c r="A169" s="2"/>
      <c r="B169" s="2"/>
      <c r="C169" s="2"/>
      <c r="D169" s="3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9"/>
      <c r="X169" s="9"/>
      <c r="Y169" s="9"/>
      <c r="Z169" s="9"/>
    </row>
    <row r="170" ht="12.0" customHeight="1">
      <c r="A170" s="2"/>
      <c r="B170" s="2"/>
      <c r="C170" s="2"/>
      <c r="D170" s="3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9"/>
      <c r="X170" s="9"/>
      <c r="Y170" s="9"/>
      <c r="Z170" s="9"/>
    </row>
    <row r="171" ht="12.0" customHeight="1">
      <c r="A171" s="2"/>
      <c r="B171" s="2"/>
      <c r="C171" s="2"/>
      <c r="D171" s="3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9"/>
      <c r="X171" s="9"/>
      <c r="Y171" s="9"/>
      <c r="Z171" s="9"/>
    </row>
    <row r="172" ht="12.0" customHeight="1">
      <c r="A172" s="2"/>
      <c r="B172" s="2"/>
      <c r="C172" s="2"/>
      <c r="D172" s="3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9"/>
      <c r="X172" s="9"/>
      <c r="Y172" s="9"/>
      <c r="Z172" s="9"/>
    </row>
    <row r="173" ht="12.0" customHeight="1">
      <c r="A173" s="2"/>
      <c r="B173" s="2"/>
      <c r="C173" s="2"/>
      <c r="D173" s="3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9"/>
      <c r="X173" s="9"/>
      <c r="Y173" s="9"/>
      <c r="Z173" s="9"/>
    </row>
    <row r="174" ht="12.0" customHeight="1">
      <c r="A174" s="2"/>
      <c r="B174" s="2"/>
      <c r="C174" s="2"/>
      <c r="D174" s="3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9"/>
      <c r="X174" s="9"/>
      <c r="Y174" s="9"/>
      <c r="Z174" s="9"/>
    </row>
    <row r="175" ht="12.0" customHeight="1">
      <c r="A175" s="2"/>
      <c r="B175" s="2"/>
      <c r="C175" s="2"/>
      <c r="D175" s="3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9"/>
      <c r="X175" s="9"/>
      <c r="Y175" s="9"/>
      <c r="Z175" s="9"/>
    </row>
    <row r="176" ht="12.0" customHeight="1">
      <c r="A176" s="2"/>
      <c r="B176" s="2"/>
      <c r="C176" s="2"/>
      <c r="D176" s="3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9"/>
      <c r="X176" s="9"/>
      <c r="Y176" s="9"/>
      <c r="Z176" s="9"/>
    </row>
    <row r="177" ht="12.0" customHeight="1">
      <c r="A177" s="2"/>
      <c r="B177" s="2"/>
      <c r="C177" s="2"/>
      <c r="D177" s="3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9"/>
      <c r="X177" s="9"/>
      <c r="Y177" s="9"/>
      <c r="Z177" s="9"/>
    </row>
    <row r="178" ht="12.0" customHeight="1">
      <c r="A178" s="2"/>
      <c r="B178" s="2"/>
      <c r="C178" s="2"/>
      <c r="D178" s="3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9"/>
      <c r="X178" s="9"/>
      <c r="Y178" s="9"/>
      <c r="Z178" s="9"/>
    </row>
    <row r="179" ht="12.0" customHeight="1">
      <c r="A179" s="2"/>
      <c r="B179" s="2"/>
      <c r="C179" s="2"/>
      <c r="D179" s="3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9"/>
      <c r="X179" s="9"/>
      <c r="Y179" s="9"/>
      <c r="Z179" s="9"/>
    </row>
    <row r="180" ht="12.0" customHeight="1">
      <c r="A180" s="2"/>
      <c r="B180" s="2"/>
      <c r="C180" s="2"/>
      <c r="D180" s="3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9"/>
      <c r="X180" s="9"/>
      <c r="Y180" s="9"/>
      <c r="Z180" s="9"/>
    </row>
    <row r="181" ht="12.0" customHeight="1">
      <c r="A181" s="2"/>
      <c r="B181" s="2"/>
      <c r="C181" s="2"/>
      <c r="D181" s="3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9"/>
      <c r="X181" s="9"/>
      <c r="Y181" s="9"/>
      <c r="Z181" s="9"/>
    </row>
    <row r="182" ht="12.0" customHeight="1">
      <c r="A182" s="2"/>
      <c r="B182" s="2"/>
      <c r="C182" s="2"/>
      <c r="D182" s="3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9"/>
      <c r="X182" s="9"/>
      <c r="Y182" s="9"/>
      <c r="Z182" s="9"/>
    </row>
    <row r="183" ht="12.0" customHeight="1">
      <c r="A183" s="2"/>
      <c r="B183" s="2"/>
      <c r="C183" s="2"/>
      <c r="D183" s="3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9"/>
      <c r="X183" s="9"/>
      <c r="Y183" s="9"/>
      <c r="Z183" s="9"/>
    </row>
    <row r="184" ht="12.0" customHeight="1">
      <c r="A184" s="2"/>
      <c r="B184" s="2"/>
      <c r="C184" s="2"/>
      <c r="D184" s="3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9"/>
      <c r="X184" s="9"/>
      <c r="Y184" s="9"/>
      <c r="Z184" s="9"/>
    </row>
    <row r="185" ht="12.0" customHeight="1">
      <c r="A185" s="2"/>
      <c r="B185" s="2"/>
      <c r="C185" s="2"/>
      <c r="D185" s="3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9"/>
      <c r="X185" s="9"/>
      <c r="Y185" s="9"/>
      <c r="Z185" s="9"/>
    </row>
    <row r="186" ht="12.0" customHeight="1">
      <c r="A186" s="2"/>
      <c r="B186" s="2"/>
      <c r="C186" s="2"/>
      <c r="D186" s="3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9"/>
      <c r="X186" s="9"/>
      <c r="Y186" s="9"/>
      <c r="Z186" s="9"/>
    </row>
    <row r="187" ht="12.0" customHeight="1">
      <c r="A187" s="2"/>
      <c r="B187" s="2"/>
      <c r="C187" s="2"/>
      <c r="D187" s="3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9"/>
      <c r="X187" s="9"/>
      <c r="Y187" s="9"/>
      <c r="Z187" s="9"/>
    </row>
    <row r="188" ht="12.0" customHeight="1">
      <c r="A188" s="2"/>
      <c r="B188" s="2"/>
      <c r="C188" s="2"/>
      <c r="D188" s="3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9"/>
      <c r="X188" s="9"/>
      <c r="Y188" s="9"/>
      <c r="Z188" s="9"/>
    </row>
    <row r="189" ht="12.0" customHeight="1">
      <c r="A189" s="2"/>
      <c r="B189" s="2"/>
      <c r="C189" s="2"/>
      <c r="D189" s="3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9"/>
      <c r="X189" s="9"/>
      <c r="Y189" s="9"/>
      <c r="Z189" s="9"/>
    </row>
    <row r="190" ht="12.0" customHeight="1">
      <c r="A190" s="2"/>
      <c r="B190" s="2"/>
      <c r="C190" s="2"/>
      <c r="D190" s="3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9"/>
      <c r="X190" s="9"/>
      <c r="Y190" s="9"/>
      <c r="Z190" s="9"/>
    </row>
    <row r="191" ht="12.0" customHeight="1">
      <c r="A191" s="2"/>
      <c r="B191" s="2"/>
      <c r="C191" s="2"/>
      <c r="D191" s="3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9"/>
      <c r="X191" s="9"/>
      <c r="Y191" s="9"/>
      <c r="Z191" s="9"/>
    </row>
    <row r="192" ht="12.0" customHeight="1">
      <c r="A192" s="2"/>
      <c r="B192" s="2"/>
      <c r="C192" s="2"/>
      <c r="D192" s="3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9"/>
      <c r="X192" s="9"/>
      <c r="Y192" s="9"/>
      <c r="Z192" s="9"/>
    </row>
    <row r="193" ht="12.0" customHeight="1">
      <c r="A193" s="2"/>
      <c r="B193" s="2"/>
      <c r="C193" s="2"/>
      <c r="D193" s="3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9"/>
      <c r="X193" s="9"/>
      <c r="Y193" s="9"/>
      <c r="Z193" s="9"/>
    </row>
    <row r="194" ht="12.0" customHeight="1">
      <c r="A194" s="2"/>
      <c r="B194" s="2"/>
      <c r="C194" s="2"/>
      <c r="D194" s="3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9"/>
      <c r="X194" s="9"/>
      <c r="Y194" s="9"/>
      <c r="Z194" s="9"/>
    </row>
    <row r="195" ht="12.0" customHeight="1">
      <c r="A195" s="2"/>
      <c r="B195" s="2"/>
      <c r="C195" s="2"/>
      <c r="D195" s="3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9"/>
      <c r="X195" s="9"/>
      <c r="Y195" s="9"/>
      <c r="Z195" s="9"/>
    </row>
    <row r="196" ht="12.0" customHeight="1">
      <c r="A196" s="2"/>
      <c r="B196" s="2"/>
      <c r="C196" s="2"/>
      <c r="D196" s="3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9"/>
      <c r="X196" s="9"/>
      <c r="Y196" s="9"/>
      <c r="Z196" s="9"/>
    </row>
    <row r="197" ht="12.0" customHeight="1">
      <c r="A197" s="2"/>
      <c r="B197" s="2"/>
      <c r="C197" s="2"/>
      <c r="D197" s="3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9"/>
      <c r="X197" s="9"/>
      <c r="Y197" s="9"/>
      <c r="Z197" s="9"/>
    </row>
    <row r="198" ht="12.0" customHeight="1">
      <c r="A198" s="2"/>
      <c r="B198" s="2"/>
      <c r="C198" s="2"/>
      <c r="D198" s="3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9"/>
      <c r="X198" s="9"/>
      <c r="Y198" s="9"/>
      <c r="Z198" s="9"/>
    </row>
    <row r="199" ht="12.0" customHeight="1">
      <c r="A199" s="2"/>
      <c r="B199" s="2"/>
      <c r="C199" s="2"/>
      <c r="D199" s="3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9"/>
      <c r="X199" s="9"/>
      <c r="Y199" s="9"/>
      <c r="Z199" s="9"/>
    </row>
    <row r="200" ht="12.0" customHeight="1">
      <c r="A200" s="2"/>
      <c r="B200" s="2"/>
      <c r="C200" s="2"/>
      <c r="D200" s="3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9"/>
      <c r="X200" s="9"/>
      <c r="Y200" s="9"/>
      <c r="Z200" s="9"/>
    </row>
    <row r="201" ht="12.0" customHeight="1">
      <c r="A201" s="2"/>
      <c r="B201" s="2"/>
      <c r="C201" s="2"/>
      <c r="D201" s="3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9"/>
      <c r="X201" s="9"/>
      <c r="Y201" s="9"/>
      <c r="Z201" s="9"/>
    </row>
    <row r="202" ht="12.0" customHeight="1">
      <c r="A202" s="2"/>
      <c r="B202" s="2"/>
      <c r="C202" s="2"/>
      <c r="D202" s="3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9"/>
      <c r="X202" s="9"/>
      <c r="Y202" s="9"/>
      <c r="Z202" s="9"/>
    </row>
    <row r="203" ht="12.0" customHeight="1">
      <c r="A203" s="2"/>
      <c r="B203" s="2"/>
      <c r="C203" s="2"/>
      <c r="D203" s="3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9"/>
      <c r="X203" s="9"/>
      <c r="Y203" s="9"/>
      <c r="Z203" s="9"/>
    </row>
    <row r="204" ht="12.0" customHeight="1">
      <c r="A204" s="2"/>
      <c r="B204" s="2"/>
      <c r="C204" s="2"/>
      <c r="D204" s="3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9"/>
      <c r="X204" s="9"/>
      <c r="Y204" s="9"/>
      <c r="Z204" s="9"/>
    </row>
    <row r="205" ht="12.0" customHeight="1">
      <c r="A205" s="2"/>
      <c r="B205" s="2"/>
      <c r="C205" s="2"/>
      <c r="D205" s="3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9"/>
      <c r="X205" s="9"/>
      <c r="Y205" s="9"/>
      <c r="Z205" s="9"/>
    </row>
    <row r="206" ht="12.0" customHeight="1">
      <c r="A206" s="2"/>
      <c r="B206" s="2"/>
      <c r="C206" s="2"/>
      <c r="D206" s="3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9"/>
      <c r="X206" s="9"/>
      <c r="Y206" s="9"/>
      <c r="Z206" s="9"/>
    </row>
    <row r="207" ht="12.0" customHeight="1">
      <c r="A207" s="2"/>
      <c r="B207" s="2"/>
      <c r="C207" s="2"/>
      <c r="D207" s="3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9"/>
      <c r="X207" s="9"/>
      <c r="Y207" s="9"/>
      <c r="Z207" s="9"/>
    </row>
    <row r="208" ht="12.0" customHeight="1">
      <c r="A208" s="2"/>
      <c r="B208" s="2"/>
      <c r="C208" s="2"/>
      <c r="D208" s="3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9"/>
      <c r="X208" s="9"/>
      <c r="Y208" s="9"/>
      <c r="Z208" s="9"/>
    </row>
    <row r="209" ht="12.0" customHeight="1">
      <c r="A209" s="2"/>
      <c r="B209" s="2"/>
      <c r="C209" s="2"/>
      <c r="D209" s="3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9"/>
      <c r="X209" s="9"/>
      <c r="Y209" s="9"/>
      <c r="Z209" s="9"/>
    </row>
    <row r="210" ht="12.0" customHeight="1">
      <c r="A210" s="2"/>
      <c r="B210" s="2"/>
      <c r="C210" s="2"/>
      <c r="D210" s="3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9"/>
      <c r="X210" s="9"/>
      <c r="Y210" s="9"/>
      <c r="Z210" s="9"/>
    </row>
    <row r="211" ht="12.0" customHeight="1">
      <c r="A211" s="2"/>
      <c r="B211" s="2"/>
      <c r="C211" s="2"/>
      <c r="D211" s="3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9"/>
      <c r="X211" s="9"/>
      <c r="Y211" s="9"/>
      <c r="Z211" s="9"/>
    </row>
    <row r="212" ht="12.0" customHeight="1">
      <c r="A212" s="2"/>
      <c r="B212" s="2"/>
      <c r="C212" s="2"/>
      <c r="D212" s="3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9"/>
      <c r="X212" s="9"/>
      <c r="Y212" s="9"/>
      <c r="Z212" s="9"/>
    </row>
    <row r="213" ht="12.0" customHeight="1">
      <c r="A213" s="2"/>
      <c r="B213" s="2"/>
      <c r="C213" s="2"/>
      <c r="D213" s="3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9"/>
      <c r="X213" s="9"/>
      <c r="Y213" s="9"/>
      <c r="Z213" s="9"/>
    </row>
    <row r="214" ht="12.0" customHeight="1">
      <c r="A214" s="2"/>
      <c r="B214" s="2"/>
      <c r="C214" s="2"/>
      <c r="D214" s="3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9"/>
      <c r="X214" s="9"/>
      <c r="Y214" s="9"/>
      <c r="Z214" s="9"/>
    </row>
    <row r="215" ht="12.0" customHeight="1">
      <c r="A215" s="2"/>
      <c r="B215" s="2"/>
      <c r="C215" s="2"/>
      <c r="D215" s="3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9"/>
      <c r="X215" s="9"/>
      <c r="Y215" s="9"/>
      <c r="Z215" s="9"/>
    </row>
    <row r="216" ht="12.0" customHeight="1">
      <c r="A216" s="2"/>
      <c r="B216" s="2"/>
      <c r="C216" s="2"/>
      <c r="D216" s="3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9"/>
      <c r="X216" s="9"/>
      <c r="Y216" s="9"/>
      <c r="Z216" s="9"/>
    </row>
    <row r="217" ht="12.0" customHeight="1">
      <c r="A217" s="2"/>
      <c r="B217" s="2"/>
      <c r="C217" s="2"/>
      <c r="D217" s="3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9"/>
      <c r="X217" s="9"/>
      <c r="Y217" s="9"/>
      <c r="Z217" s="9"/>
    </row>
    <row r="218" ht="12.0" customHeight="1">
      <c r="A218" s="2"/>
      <c r="B218" s="2"/>
      <c r="C218" s="2"/>
      <c r="D218" s="3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9"/>
      <c r="X218" s="9"/>
      <c r="Y218" s="9"/>
      <c r="Z218" s="9"/>
    </row>
    <row r="219" ht="12.0" customHeight="1">
      <c r="A219" s="2"/>
      <c r="B219" s="2"/>
      <c r="C219" s="2"/>
      <c r="D219" s="3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9"/>
      <c r="X219" s="9"/>
      <c r="Y219" s="9"/>
      <c r="Z219" s="9"/>
    </row>
    <row r="220" ht="12.0" customHeight="1">
      <c r="A220" s="2"/>
      <c r="B220" s="2"/>
      <c r="C220" s="2"/>
      <c r="D220" s="3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9"/>
      <c r="X220" s="9"/>
      <c r="Y220" s="9"/>
      <c r="Z220" s="9"/>
    </row>
    <row r="221" ht="12.0" customHeight="1">
      <c r="A221" s="2"/>
      <c r="B221" s="2"/>
      <c r="C221" s="2"/>
      <c r="D221" s="3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9"/>
      <c r="X221" s="9"/>
      <c r="Y221" s="9"/>
      <c r="Z221" s="9"/>
    </row>
    <row r="222" ht="12.0" customHeight="1">
      <c r="A222" s="2"/>
      <c r="B222" s="2"/>
      <c r="C222" s="2"/>
      <c r="D222" s="3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9"/>
      <c r="X222" s="9"/>
      <c r="Y222" s="9"/>
      <c r="Z222" s="9"/>
    </row>
    <row r="223" ht="12.0" customHeight="1">
      <c r="A223" s="2"/>
      <c r="B223" s="2"/>
      <c r="C223" s="2"/>
      <c r="D223" s="3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9"/>
      <c r="X223" s="9"/>
      <c r="Y223" s="9"/>
      <c r="Z223" s="9"/>
    </row>
    <row r="224" ht="12.0" customHeight="1">
      <c r="A224" s="2"/>
      <c r="B224" s="2"/>
      <c r="C224" s="2"/>
      <c r="D224" s="3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9"/>
      <c r="X224" s="9"/>
      <c r="Y224" s="9"/>
      <c r="Z224" s="9"/>
    </row>
    <row r="225" ht="12.0" customHeight="1">
      <c r="A225" s="2"/>
      <c r="B225" s="2"/>
      <c r="C225" s="2"/>
      <c r="D225" s="3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9"/>
      <c r="X225" s="9"/>
      <c r="Y225" s="9"/>
      <c r="Z225" s="9"/>
    </row>
    <row r="226" ht="12.0" customHeight="1">
      <c r="A226" s="2"/>
      <c r="B226" s="2"/>
      <c r="C226" s="2"/>
      <c r="D226" s="3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9"/>
      <c r="X226" s="9"/>
      <c r="Y226" s="9"/>
      <c r="Z226" s="9"/>
    </row>
    <row r="227" ht="12.0" customHeight="1">
      <c r="A227" s="2"/>
      <c r="B227" s="2"/>
      <c r="C227" s="2"/>
      <c r="D227" s="3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9"/>
      <c r="X227" s="9"/>
      <c r="Y227" s="9"/>
      <c r="Z227" s="9"/>
    </row>
    <row r="228" ht="12.0" customHeight="1">
      <c r="A228" s="2"/>
      <c r="B228" s="2"/>
      <c r="C228" s="2"/>
      <c r="D228" s="3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9"/>
      <c r="X228" s="9"/>
      <c r="Y228" s="9"/>
      <c r="Z228" s="9"/>
    </row>
    <row r="229" ht="12.0" customHeight="1">
      <c r="A229" s="2"/>
      <c r="B229" s="2"/>
      <c r="C229" s="2"/>
      <c r="D229" s="3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9"/>
      <c r="X229" s="9"/>
      <c r="Y229" s="9"/>
      <c r="Z229" s="9"/>
    </row>
    <row r="230" ht="12.0" customHeight="1">
      <c r="A230" s="2"/>
      <c r="B230" s="2"/>
      <c r="C230" s="2"/>
      <c r="D230" s="3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9"/>
      <c r="X230" s="9"/>
      <c r="Y230" s="9"/>
      <c r="Z230" s="9"/>
    </row>
    <row r="231" ht="12.0" customHeight="1">
      <c r="A231" s="2"/>
      <c r="B231" s="2"/>
      <c r="C231" s="2"/>
      <c r="D231" s="3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9"/>
      <c r="X231" s="9"/>
      <c r="Y231" s="9"/>
      <c r="Z231" s="9"/>
    </row>
    <row r="232" ht="12.0" customHeight="1">
      <c r="A232" s="2"/>
      <c r="B232" s="2"/>
      <c r="C232" s="2"/>
      <c r="D232" s="3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9"/>
      <c r="X232" s="9"/>
      <c r="Y232" s="9"/>
      <c r="Z232" s="9"/>
    </row>
    <row r="233" ht="12.0" customHeight="1">
      <c r="A233" s="2"/>
      <c r="B233" s="2"/>
      <c r="C233" s="2"/>
      <c r="D233" s="3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9"/>
      <c r="X233" s="9"/>
      <c r="Y233" s="9"/>
      <c r="Z233" s="9"/>
    </row>
    <row r="234" ht="12.0" customHeight="1">
      <c r="A234" s="2"/>
      <c r="B234" s="2"/>
      <c r="C234" s="2"/>
      <c r="D234" s="3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9"/>
      <c r="X234" s="9"/>
      <c r="Y234" s="9"/>
      <c r="Z234" s="9"/>
    </row>
    <row r="235" ht="12.0" customHeight="1">
      <c r="A235" s="2"/>
      <c r="B235" s="2"/>
      <c r="C235" s="2"/>
      <c r="D235" s="3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9"/>
      <c r="X235" s="9"/>
      <c r="Y235" s="9"/>
      <c r="Z235" s="9"/>
    </row>
    <row r="236" ht="12.0" customHeight="1">
      <c r="A236" s="2"/>
      <c r="B236" s="2"/>
      <c r="C236" s="2"/>
      <c r="D236" s="3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9"/>
      <c r="X236" s="9"/>
      <c r="Y236" s="9"/>
      <c r="Z236" s="9"/>
    </row>
    <row r="237" ht="12.0" customHeight="1">
      <c r="A237" s="2"/>
      <c r="B237" s="2"/>
      <c r="C237" s="2"/>
      <c r="D237" s="3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9"/>
      <c r="X237" s="9"/>
      <c r="Y237" s="9"/>
      <c r="Z237" s="9"/>
    </row>
    <row r="238" ht="12.0" customHeight="1">
      <c r="A238" s="2"/>
      <c r="B238" s="2"/>
      <c r="C238" s="2"/>
      <c r="D238" s="3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9"/>
      <c r="X238" s="9"/>
      <c r="Y238" s="9"/>
      <c r="Z238" s="9"/>
    </row>
    <row r="239" ht="12.0" customHeight="1">
      <c r="A239" s="2"/>
      <c r="B239" s="2"/>
      <c r="C239" s="2"/>
      <c r="D239" s="3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9"/>
      <c r="X239" s="9"/>
      <c r="Y239" s="9"/>
      <c r="Z239" s="9"/>
    </row>
    <row r="240" ht="12.0" customHeight="1">
      <c r="A240" s="2"/>
      <c r="B240" s="2"/>
      <c r="C240" s="2"/>
      <c r="D240" s="3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9"/>
      <c r="X240" s="9"/>
      <c r="Y240" s="9"/>
      <c r="Z240" s="9"/>
    </row>
    <row r="241" ht="12.0" customHeight="1">
      <c r="A241" s="2"/>
      <c r="B241" s="2"/>
      <c r="C241" s="2"/>
      <c r="D241" s="3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9"/>
      <c r="X241" s="9"/>
      <c r="Y241" s="9"/>
      <c r="Z241" s="9"/>
    </row>
    <row r="242" ht="12.0" customHeight="1">
      <c r="A242" s="2"/>
      <c r="B242" s="2"/>
      <c r="C242" s="2"/>
      <c r="D242" s="3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9"/>
      <c r="X242" s="9"/>
      <c r="Y242" s="9"/>
      <c r="Z242" s="9"/>
    </row>
    <row r="243" ht="12.0" customHeight="1">
      <c r="A243" s="2"/>
      <c r="B243" s="2"/>
      <c r="C243" s="2"/>
      <c r="D243" s="3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9"/>
      <c r="X243" s="9"/>
      <c r="Y243" s="9"/>
      <c r="Z243" s="9"/>
    </row>
    <row r="244" ht="12.0" customHeight="1">
      <c r="A244" s="2"/>
      <c r="B244" s="2"/>
      <c r="C244" s="2"/>
      <c r="D244" s="3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9"/>
      <c r="X244" s="9"/>
      <c r="Y244" s="9"/>
      <c r="Z244" s="9"/>
    </row>
    <row r="245" ht="12.0" customHeight="1">
      <c r="A245" s="2"/>
      <c r="B245" s="2"/>
      <c r="C245" s="2"/>
      <c r="D245" s="3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9"/>
      <c r="X245" s="9"/>
      <c r="Y245" s="9"/>
      <c r="Z245" s="9"/>
    </row>
    <row r="246" ht="12.0" customHeight="1">
      <c r="A246" s="2"/>
      <c r="B246" s="2"/>
      <c r="C246" s="2"/>
      <c r="D246" s="3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9"/>
      <c r="X246" s="9"/>
      <c r="Y246" s="9"/>
      <c r="Z246" s="9"/>
    </row>
    <row r="247" ht="12.0" customHeight="1">
      <c r="A247" s="2"/>
      <c r="B247" s="2"/>
      <c r="C247" s="2"/>
      <c r="D247" s="3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9"/>
      <c r="X247" s="9"/>
      <c r="Y247" s="9"/>
      <c r="Z247" s="9"/>
    </row>
    <row r="248" ht="12.0" customHeight="1">
      <c r="A248" s="2"/>
      <c r="B248" s="2"/>
      <c r="C248" s="2"/>
      <c r="D248" s="3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9"/>
      <c r="X248" s="9"/>
      <c r="Y248" s="9"/>
      <c r="Z248" s="9"/>
    </row>
    <row r="249" ht="12.0" customHeight="1">
      <c r="A249" s="2"/>
      <c r="B249" s="2"/>
      <c r="C249" s="2"/>
      <c r="D249" s="3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9"/>
      <c r="X249" s="9"/>
      <c r="Y249" s="9"/>
      <c r="Z249" s="9"/>
    </row>
    <row r="250" ht="12.0" customHeight="1">
      <c r="A250" s="2"/>
      <c r="B250" s="2"/>
      <c r="C250" s="2"/>
      <c r="D250" s="3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9"/>
      <c r="X250" s="9"/>
      <c r="Y250" s="9"/>
      <c r="Z250" s="9"/>
    </row>
    <row r="251" ht="12.0" customHeight="1">
      <c r="A251" s="2"/>
      <c r="B251" s="2"/>
      <c r="C251" s="2"/>
      <c r="D251" s="3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9"/>
      <c r="X251" s="9"/>
      <c r="Y251" s="9"/>
      <c r="Z251" s="9"/>
    </row>
    <row r="252" ht="12.0" customHeight="1">
      <c r="A252" s="2"/>
      <c r="B252" s="2"/>
      <c r="C252" s="2"/>
      <c r="D252" s="3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9"/>
      <c r="X252" s="9"/>
      <c r="Y252" s="9"/>
      <c r="Z252" s="9"/>
    </row>
    <row r="253" ht="12.0" customHeight="1">
      <c r="A253" s="2"/>
      <c r="B253" s="2"/>
      <c r="C253" s="2"/>
      <c r="D253" s="3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9"/>
      <c r="X253" s="9"/>
      <c r="Y253" s="9"/>
      <c r="Z253" s="9"/>
    </row>
    <row r="254" ht="12.0" customHeight="1">
      <c r="A254" s="2"/>
      <c r="B254" s="2"/>
      <c r="C254" s="2"/>
      <c r="D254" s="3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9"/>
      <c r="X254" s="9"/>
      <c r="Y254" s="9"/>
      <c r="Z254" s="9"/>
    </row>
    <row r="255" ht="12.0" customHeight="1">
      <c r="A255" s="2"/>
      <c r="B255" s="2"/>
      <c r="C255" s="2"/>
      <c r="D255" s="3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9"/>
      <c r="X255" s="9"/>
      <c r="Y255" s="9"/>
      <c r="Z255" s="9"/>
    </row>
    <row r="256" ht="12.0" customHeight="1">
      <c r="A256" s="2"/>
      <c r="B256" s="2"/>
      <c r="C256" s="2"/>
      <c r="D256" s="3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9"/>
      <c r="X256" s="9"/>
      <c r="Y256" s="9"/>
      <c r="Z256" s="9"/>
    </row>
    <row r="257" ht="12.0" customHeight="1">
      <c r="A257" s="2"/>
      <c r="B257" s="2"/>
      <c r="C257" s="2"/>
      <c r="D257" s="3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9"/>
      <c r="X257" s="9"/>
      <c r="Y257" s="9"/>
      <c r="Z257" s="9"/>
    </row>
    <row r="258" ht="12.0" customHeight="1">
      <c r="A258" s="2"/>
      <c r="B258" s="2"/>
      <c r="C258" s="2"/>
      <c r="D258" s="3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9"/>
      <c r="X258" s="9"/>
      <c r="Y258" s="9"/>
      <c r="Z258" s="9"/>
    </row>
    <row r="259" ht="12.0" customHeight="1">
      <c r="A259" s="2"/>
      <c r="B259" s="2"/>
      <c r="C259" s="2"/>
      <c r="D259" s="3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9"/>
      <c r="X259" s="9"/>
      <c r="Y259" s="9"/>
      <c r="Z259" s="9"/>
    </row>
    <row r="260" ht="12.0" customHeight="1">
      <c r="A260" s="2"/>
      <c r="B260" s="2"/>
      <c r="C260" s="2"/>
      <c r="D260" s="3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9"/>
      <c r="X260" s="9"/>
      <c r="Y260" s="9"/>
      <c r="Z260" s="9"/>
    </row>
    <row r="261" ht="12.0" customHeight="1">
      <c r="A261" s="2"/>
      <c r="B261" s="2"/>
      <c r="C261" s="2"/>
      <c r="D261" s="3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9"/>
      <c r="X261" s="9"/>
      <c r="Y261" s="9"/>
      <c r="Z261" s="9"/>
    </row>
    <row r="262" ht="12.0" customHeight="1">
      <c r="A262" s="2"/>
      <c r="B262" s="2"/>
      <c r="C262" s="2"/>
      <c r="D262" s="3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9"/>
      <c r="X262" s="9"/>
      <c r="Y262" s="9"/>
      <c r="Z262" s="9"/>
    </row>
    <row r="263" ht="12.0" customHeight="1">
      <c r="A263" s="2"/>
      <c r="B263" s="2"/>
      <c r="C263" s="2"/>
      <c r="D263" s="3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9"/>
      <c r="X263" s="9"/>
      <c r="Y263" s="9"/>
      <c r="Z263" s="9"/>
    </row>
    <row r="264" ht="12.0" customHeight="1">
      <c r="A264" s="2"/>
      <c r="B264" s="2"/>
      <c r="C264" s="2"/>
      <c r="D264" s="3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9"/>
      <c r="X264" s="9"/>
      <c r="Y264" s="9"/>
      <c r="Z264" s="9"/>
    </row>
    <row r="265" ht="12.0" customHeight="1">
      <c r="A265" s="2"/>
      <c r="B265" s="2"/>
      <c r="C265" s="2"/>
      <c r="D265" s="3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9"/>
      <c r="X265" s="9"/>
      <c r="Y265" s="9"/>
      <c r="Z265" s="9"/>
    </row>
    <row r="266" ht="12.0" customHeight="1">
      <c r="A266" s="2"/>
      <c r="B266" s="2"/>
      <c r="C266" s="2"/>
      <c r="D266" s="3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9"/>
      <c r="X266" s="9"/>
      <c r="Y266" s="9"/>
      <c r="Z266" s="9"/>
    </row>
    <row r="267" ht="12.0" customHeight="1">
      <c r="A267" s="2"/>
      <c r="B267" s="2"/>
      <c r="C267" s="2"/>
      <c r="D267" s="3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9"/>
      <c r="X267" s="9"/>
      <c r="Y267" s="9"/>
      <c r="Z267" s="9"/>
    </row>
    <row r="268" ht="12.0" customHeight="1">
      <c r="A268" s="2"/>
      <c r="B268" s="2"/>
      <c r="C268" s="2"/>
      <c r="D268" s="3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9"/>
      <c r="X268" s="9"/>
      <c r="Y268" s="9"/>
      <c r="Z268" s="9"/>
    </row>
    <row r="269" ht="12.0" customHeight="1">
      <c r="A269" s="2"/>
      <c r="B269" s="2"/>
      <c r="C269" s="2"/>
      <c r="D269" s="3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9"/>
      <c r="X269" s="9"/>
      <c r="Y269" s="9"/>
      <c r="Z269" s="9"/>
    </row>
    <row r="270" ht="12.0" customHeight="1">
      <c r="A270" s="2"/>
      <c r="B270" s="2"/>
      <c r="C270" s="2"/>
      <c r="D270" s="3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9"/>
      <c r="X270" s="9"/>
      <c r="Y270" s="9"/>
      <c r="Z270" s="9"/>
    </row>
    <row r="271" ht="12.0" customHeight="1">
      <c r="A271" s="2"/>
      <c r="B271" s="2"/>
      <c r="C271" s="2"/>
      <c r="D271" s="3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9"/>
      <c r="X271" s="9"/>
      <c r="Y271" s="9"/>
      <c r="Z271" s="9"/>
    </row>
    <row r="272" ht="12.0" customHeight="1">
      <c r="A272" s="2"/>
      <c r="B272" s="2"/>
      <c r="C272" s="2"/>
      <c r="D272" s="3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9"/>
      <c r="X272" s="9"/>
      <c r="Y272" s="9"/>
      <c r="Z272" s="9"/>
    </row>
    <row r="273" ht="12.0" customHeight="1">
      <c r="A273" s="2"/>
      <c r="B273" s="2"/>
      <c r="C273" s="2"/>
      <c r="D273" s="3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9"/>
      <c r="X273" s="9"/>
      <c r="Y273" s="9"/>
      <c r="Z273" s="9"/>
    </row>
    <row r="274" ht="12.0" customHeight="1">
      <c r="A274" s="2"/>
      <c r="B274" s="2"/>
      <c r="C274" s="2"/>
      <c r="D274" s="3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9"/>
      <c r="X274" s="9"/>
      <c r="Y274" s="9"/>
      <c r="Z274" s="9"/>
    </row>
    <row r="275" ht="12.0" customHeight="1">
      <c r="A275" s="2"/>
      <c r="B275" s="2"/>
      <c r="C275" s="2"/>
      <c r="D275" s="3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9"/>
      <c r="X275" s="9"/>
      <c r="Y275" s="9"/>
      <c r="Z275" s="9"/>
    </row>
    <row r="276" ht="12.0" customHeight="1">
      <c r="A276" s="2"/>
      <c r="B276" s="2"/>
      <c r="C276" s="2"/>
      <c r="D276" s="3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9"/>
      <c r="X276" s="9"/>
      <c r="Y276" s="9"/>
      <c r="Z276" s="9"/>
    </row>
    <row r="277" ht="12.0" customHeight="1">
      <c r="A277" s="2"/>
      <c r="B277" s="2"/>
      <c r="C277" s="2"/>
      <c r="D277" s="3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9"/>
      <c r="X277" s="9"/>
      <c r="Y277" s="9"/>
      <c r="Z277" s="9"/>
    </row>
    <row r="278" ht="12.0" customHeight="1">
      <c r="A278" s="9"/>
      <c r="B278" s="9"/>
      <c r="C278" s="9"/>
      <c r="D278" s="60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2.0" customHeight="1">
      <c r="A279" s="9"/>
      <c r="B279" s="9"/>
      <c r="C279" s="9"/>
      <c r="D279" s="60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2.0" customHeight="1">
      <c r="A280" s="9"/>
      <c r="B280" s="9"/>
      <c r="C280" s="9"/>
      <c r="D280" s="60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2.0" customHeight="1">
      <c r="A281" s="9"/>
      <c r="B281" s="9"/>
      <c r="C281" s="9"/>
      <c r="D281" s="60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2.0" customHeight="1">
      <c r="A282" s="9"/>
      <c r="B282" s="9"/>
      <c r="C282" s="9"/>
      <c r="D282" s="60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2.0" customHeight="1">
      <c r="A283" s="9"/>
      <c r="B283" s="9"/>
      <c r="C283" s="9"/>
      <c r="D283" s="60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2.0" customHeight="1">
      <c r="A284" s="9"/>
      <c r="B284" s="9"/>
      <c r="C284" s="9"/>
      <c r="D284" s="60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2.0" customHeight="1">
      <c r="A285" s="9"/>
      <c r="B285" s="9"/>
      <c r="C285" s="9"/>
      <c r="D285" s="60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2.0" customHeight="1">
      <c r="A286" s="9"/>
      <c r="B286" s="9"/>
      <c r="C286" s="9"/>
      <c r="D286" s="60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2.0" customHeight="1">
      <c r="A287" s="9"/>
      <c r="B287" s="9"/>
      <c r="C287" s="9"/>
      <c r="D287" s="60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2.0" customHeight="1">
      <c r="A288" s="9"/>
      <c r="B288" s="9"/>
      <c r="C288" s="9"/>
      <c r="D288" s="60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2.0" customHeight="1">
      <c r="A289" s="9"/>
      <c r="B289" s="9"/>
      <c r="C289" s="9"/>
      <c r="D289" s="60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2.0" customHeight="1">
      <c r="A290" s="9"/>
      <c r="B290" s="9"/>
      <c r="C290" s="9"/>
      <c r="D290" s="60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2.0" customHeight="1">
      <c r="A291" s="9"/>
      <c r="B291" s="9"/>
      <c r="C291" s="9"/>
      <c r="D291" s="60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2.0" customHeight="1">
      <c r="A292" s="9"/>
      <c r="B292" s="9"/>
      <c r="C292" s="9"/>
      <c r="D292" s="60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2.0" customHeight="1">
      <c r="A293" s="9"/>
      <c r="B293" s="9"/>
      <c r="C293" s="9"/>
      <c r="D293" s="60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2.0" customHeight="1">
      <c r="A294" s="9"/>
      <c r="B294" s="9"/>
      <c r="C294" s="9"/>
      <c r="D294" s="60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2.0" customHeight="1">
      <c r="A295" s="9"/>
      <c r="B295" s="9"/>
      <c r="C295" s="9"/>
      <c r="D295" s="60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2.0" customHeight="1">
      <c r="A296" s="9"/>
      <c r="B296" s="9"/>
      <c r="C296" s="9"/>
      <c r="D296" s="60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2.0" customHeight="1">
      <c r="A297" s="9"/>
      <c r="B297" s="9"/>
      <c r="C297" s="9"/>
      <c r="D297" s="60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2.0" customHeight="1">
      <c r="A298" s="9"/>
      <c r="B298" s="9"/>
      <c r="C298" s="9"/>
      <c r="D298" s="60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2.0" customHeight="1">
      <c r="A299" s="9"/>
      <c r="B299" s="9"/>
      <c r="C299" s="9"/>
      <c r="D299" s="60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2.0" customHeight="1">
      <c r="A300" s="9"/>
      <c r="B300" s="9"/>
      <c r="C300" s="9"/>
      <c r="D300" s="60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2.0" customHeight="1">
      <c r="A301" s="9"/>
      <c r="B301" s="9"/>
      <c r="C301" s="9"/>
      <c r="D301" s="60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2.0" customHeight="1">
      <c r="A302" s="9"/>
      <c r="B302" s="9"/>
      <c r="C302" s="9"/>
      <c r="D302" s="60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2.0" customHeight="1">
      <c r="A303" s="9"/>
      <c r="B303" s="9"/>
      <c r="C303" s="9"/>
      <c r="D303" s="60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2.0" customHeight="1">
      <c r="A304" s="9"/>
      <c r="B304" s="9"/>
      <c r="C304" s="9"/>
      <c r="D304" s="60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2.0" customHeight="1">
      <c r="A305" s="9"/>
      <c r="B305" s="9"/>
      <c r="C305" s="9"/>
      <c r="D305" s="60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2.0" customHeight="1">
      <c r="A306" s="9"/>
      <c r="B306" s="9"/>
      <c r="C306" s="9"/>
      <c r="D306" s="60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2.0" customHeight="1">
      <c r="A307" s="9"/>
      <c r="B307" s="9"/>
      <c r="C307" s="9"/>
      <c r="D307" s="60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2.0" customHeight="1">
      <c r="A308" s="9"/>
      <c r="B308" s="9"/>
      <c r="C308" s="9"/>
      <c r="D308" s="60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2.0" customHeight="1">
      <c r="A309" s="9"/>
      <c r="B309" s="9"/>
      <c r="C309" s="9"/>
      <c r="D309" s="60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2.0" customHeight="1">
      <c r="A310" s="9"/>
      <c r="B310" s="9"/>
      <c r="C310" s="9"/>
      <c r="D310" s="60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2.0" customHeight="1">
      <c r="A311" s="9"/>
      <c r="B311" s="9"/>
      <c r="C311" s="9"/>
      <c r="D311" s="60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2.0" customHeight="1">
      <c r="A312" s="9"/>
      <c r="B312" s="9"/>
      <c r="C312" s="9"/>
      <c r="D312" s="60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2.0" customHeight="1">
      <c r="A313" s="9"/>
      <c r="B313" s="9"/>
      <c r="C313" s="9"/>
      <c r="D313" s="60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2.0" customHeight="1">
      <c r="A314" s="9"/>
      <c r="B314" s="9"/>
      <c r="C314" s="9"/>
      <c r="D314" s="60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2.0" customHeight="1">
      <c r="A315" s="9"/>
      <c r="B315" s="9"/>
      <c r="C315" s="9"/>
      <c r="D315" s="60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2.0" customHeight="1">
      <c r="A316" s="9"/>
      <c r="B316" s="9"/>
      <c r="C316" s="9"/>
      <c r="D316" s="60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2.0" customHeight="1">
      <c r="A317" s="9"/>
      <c r="B317" s="9"/>
      <c r="C317" s="9"/>
      <c r="D317" s="60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2.0" customHeight="1">
      <c r="A318" s="9"/>
      <c r="B318" s="9"/>
      <c r="C318" s="9"/>
      <c r="D318" s="60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2.0" customHeight="1">
      <c r="A319" s="9"/>
      <c r="B319" s="9"/>
      <c r="C319" s="9"/>
      <c r="D319" s="60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2.0" customHeight="1">
      <c r="A320" s="9"/>
      <c r="B320" s="9"/>
      <c r="C320" s="9"/>
      <c r="D320" s="60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2.0" customHeight="1">
      <c r="A321" s="9"/>
      <c r="B321" s="9"/>
      <c r="C321" s="9"/>
      <c r="D321" s="60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2.0" customHeight="1">
      <c r="A322" s="9"/>
      <c r="B322" s="9"/>
      <c r="C322" s="9"/>
      <c r="D322" s="60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2.0" customHeight="1">
      <c r="A323" s="9"/>
      <c r="B323" s="9"/>
      <c r="C323" s="9"/>
      <c r="D323" s="60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2.0" customHeight="1">
      <c r="A324" s="9"/>
      <c r="B324" s="9"/>
      <c r="C324" s="9"/>
      <c r="D324" s="60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2.0" customHeight="1">
      <c r="A325" s="9"/>
      <c r="B325" s="9"/>
      <c r="C325" s="9"/>
      <c r="D325" s="60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2.0" customHeight="1">
      <c r="A326" s="9"/>
      <c r="B326" s="9"/>
      <c r="C326" s="9"/>
      <c r="D326" s="60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2.0" customHeight="1">
      <c r="A327" s="9"/>
      <c r="B327" s="9"/>
      <c r="C327" s="9"/>
      <c r="D327" s="60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2.0" customHeight="1">
      <c r="A328" s="9"/>
      <c r="B328" s="9"/>
      <c r="C328" s="9"/>
      <c r="D328" s="60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2.0" customHeight="1">
      <c r="A329" s="9"/>
      <c r="B329" s="9"/>
      <c r="C329" s="9"/>
      <c r="D329" s="60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2.0" customHeight="1">
      <c r="A330" s="9"/>
      <c r="B330" s="9"/>
      <c r="C330" s="9"/>
      <c r="D330" s="60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2.0" customHeight="1">
      <c r="A331" s="9"/>
      <c r="B331" s="9"/>
      <c r="C331" s="9"/>
      <c r="D331" s="60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2.0" customHeight="1">
      <c r="A332" s="9"/>
      <c r="B332" s="9"/>
      <c r="C332" s="9"/>
      <c r="D332" s="60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2.0" customHeight="1">
      <c r="A333" s="9"/>
      <c r="B333" s="9"/>
      <c r="C333" s="9"/>
      <c r="D333" s="60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2.0" customHeight="1">
      <c r="A334" s="9"/>
      <c r="B334" s="9"/>
      <c r="C334" s="9"/>
      <c r="D334" s="60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2.0" customHeight="1">
      <c r="A335" s="9"/>
      <c r="B335" s="9"/>
      <c r="C335" s="9"/>
      <c r="D335" s="60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2.0" customHeight="1">
      <c r="A336" s="9"/>
      <c r="B336" s="9"/>
      <c r="C336" s="9"/>
      <c r="D336" s="60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2.0" customHeight="1">
      <c r="A337" s="9"/>
      <c r="B337" s="9"/>
      <c r="C337" s="9"/>
      <c r="D337" s="60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2.0" customHeight="1">
      <c r="A338" s="9"/>
      <c r="B338" s="9"/>
      <c r="C338" s="9"/>
      <c r="D338" s="60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2.0" customHeight="1">
      <c r="A339" s="9"/>
      <c r="B339" s="9"/>
      <c r="C339" s="9"/>
      <c r="D339" s="60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2.0" customHeight="1">
      <c r="A340" s="9"/>
      <c r="B340" s="9"/>
      <c r="C340" s="9"/>
      <c r="D340" s="60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2.0" customHeight="1">
      <c r="A341" s="9"/>
      <c r="B341" s="9"/>
      <c r="C341" s="9"/>
      <c r="D341" s="60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2.0" customHeight="1">
      <c r="A342" s="9"/>
      <c r="B342" s="9"/>
      <c r="C342" s="9"/>
      <c r="D342" s="60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2.0" customHeight="1">
      <c r="A343" s="9"/>
      <c r="B343" s="9"/>
      <c r="C343" s="9"/>
      <c r="D343" s="60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2.0" customHeight="1">
      <c r="A344" s="9"/>
      <c r="B344" s="9"/>
      <c r="C344" s="9"/>
      <c r="D344" s="60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2.0" customHeight="1">
      <c r="A345" s="9"/>
      <c r="B345" s="9"/>
      <c r="C345" s="9"/>
      <c r="D345" s="60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2.0" customHeight="1">
      <c r="A346" s="9"/>
      <c r="B346" s="9"/>
      <c r="C346" s="9"/>
      <c r="D346" s="60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2.0" customHeight="1">
      <c r="A347" s="9"/>
      <c r="B347" s="9"/>
      <c r="C347" s="9"/>
      <c r="D347" s="60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2.0" customHeight="1">
      <c r="A348" s="9"/>
      <c r="B348" s="9"/>
      <c r="C348" s="9"/>
      <c r="D348" s="60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2.0" customHeight="1">
      <c r="A349" s="9"/>
      <c r="B349" s="9"/>
      <c r="C349" s="9"/>
      <c r="D349" s="60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2.0" customHeight="1">
      <c r="A350" s="9"/>
      <c r="B350" s="9"/>
      <c r="C350" s="9"/>
      <c r="D350" s="60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2.0" customHeight="1">
      <c r="A351" s="9"/>
      <c r="B351" s="9"/>
      <c r="C351" s="9"/>
      <c r="D351" s="60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2.0" customHeight="1">
      <c r="A352" s="9"/>
      <c r="B352" s="9"/>
      <c r="C352" s="9"/>
      <c r="D352" s="60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2.0" customHeight="1">
      <c r="A353" s="9"/>
      <c r="B353" s="9"/>
      <c r="C353" s="9"/>
      <c r="D353" s="60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2.0" customHeight="1">
      <c r="A354" s="9"/>
      <c r="B354" s="9"/>
      <c r="C354" s="9"/>
      <c r="D354" s="60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2.0" customHeight="1">
      <c r="A355" s="9"/>
      <c r="B355" s="9"/>
      <c r="C355" s="9"/>
      <c r="D355" s="60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2.0" customHeight="1">
      <c r="A356" s="9"/>
      <c r="B356" s="9"/>
      <c r="C356" s="9"/>
      <c r="D356" s="60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2.0" customHeight="1">
      <c r="A357" s="9"/>
      <c r="B357" s="9"/>
      <c r="C357" s="9"/>
      <c r="D357" s="60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2.0" customHeight="1">
      <c r="A358" s="9"/>
      <c r="B358" s="9"/>
      <c r="C358" s="9"/>
      <c r="D358" s="60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2.0" customHeight="1">
      <c r="A359" s="9"/>
      <c r="B359" s="9"/>
      <c r="C359" s="9"/>
      <c r="D359" s="60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2.0" customHeight="1">
      <c r="A360" s="9"/>
      <c r="B360" s="9"/>
      <c r="C360" s="9"/>
      <c r="D360" s="60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2.0" customHeight="1">
      <c r="A361" s="9"/>
      <c r="B361" s="9"/>
      <c r="C361" s="9"/>
      <c r="D361" s="60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2.0" customHeight="1">
      <c r="A362" s="9"/>
      <c r="B362" s="9"/>
      <c r="C362" s="9"/>
      <c r="D362" s="60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2.0" customHeight="1">
      <c r="A363" s="9"/>
      <c r="B363" s="9"/>
      <c r="C363" s="9"/>
      <c r="D363" s="60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2.0" customHeight="1">
      <c r="A364" s="9"/>
      <c r="B364" s="9"/>
      <c r="C364" s="9"/>
      <c r="D364" s="60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2.0" customHeight="1">
      <c r="A365" s="9"/>
      <c r="B365" s="9"/>
      <c r="C365" s="9"/>
      <c r="D365" s="60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2.0" customHeight="1">
      <c r="A366" s="9"/>
      <c r="B366" s="9"/>
      <c r="C366" s="9"/>
      <c r="D366" s="60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2.0" customHeight="1">
      <c r="A367" s="9"/>
      <c r="B367" s="9"/>
      <c r="C367" s="9"/>
      <c r="D367" s="60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2.0" customHeight="1">
      <c r="A368" s="9"/>
      <c r="B368" s="9"/>
      <c r="C368" s="9"/>
      <c r="D368" s="60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2.0" customHeight="1">
      <c r="A369" s="9"/>
      <c r="B369" s="9"/>
      <c r="C369" s="9"/>
      <c r="D369" s="60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2.0" customHeight="1">
      <c r="A370" s="9"/>
      <c r="B370" s="9"/>
      <c r="C370" s="9"/>
      <c r="D370" s="60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2.0" customHeight="1">
      <c r="A371" s="9"/>
      <c r="B371" s="9"/>
      <c r="C371" s="9"/>
      <c r="D371" s="60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2.0" customHeight="1">
      <c r="A372" s="9"/>
      <c r="B372" s="9"/>
      <c r="C372" s="9"/>
      <c r="D372" s="60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2.0" customHeight="1">
      <c r="A373" s="9"/>
      <c r="B373" s="9"/>
      <c r="C373" s="9"/>
      <c r="D373" s="60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2.0" customHeight="1">
      <c r="A374" s="9"/>
      <c r="B374" s="9"/>
      <c r="C374" s="9"/>
      <c r="D374" s="60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2.0" customHeight="1">
      <c r="A375" s="9"/>
      <c r="B375" s="9"/>
      <c r="C375" s="9"/>
      <c r="D375" s="60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2.0" customHeight="1">
      <c r="A376" s="9"/>
      <c r="B376" s="9"/>
      <c r="C376" s="9"/>
      <c r="D376" s="60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2.0" customHeight="1">
      <c r="A377" s="9"/>
      <c r="B377" s="9"/>
      <c r="C377" s="9"/>
      <c r="D377" s="60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2.0" customHeight="1">
      <c r="A378" s="9"/>
      <c r="B378" s="9"/>
      <c r="C378" s="9"/>
      <c r="D378" s="60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2.0" customHeight="1">
      <c r="A379" s="9"/>
      <c r="B379" s="9"/>
      <c r="C379" s="9"/>
      <c r="D379" s="60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2.0" customHeight="1">
      <c r="A380" s="9"/>
      <c r="B380" s="9"/>
      <c r="C380" s="9"/>
      <c r="D380" s="60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2.0" customHeight="1">
      <c r="A381" s="9"/>
      <c r="B381" s="9"/>
      <c r="C381" s="9"/>
      <c r="D381" s="60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2.0" customHeight="1">
      <c r="A382" s="9"/>
      <c r="B382" s="9"/>
      <c r="C382" s="9"/>
      <c r="D382" s="60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2.0" customHeight="1">
      <c r="A383" s="9"/>
      <c r="B383" s="9"/>
      <c r="C383" s="9"/>
      <c r="D383" s="60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2.0" customHeight="1">
      <c r="A384" s="9"/>
      <c r="B384" s="9"/>
      <c r="C384" s="9"/>
      <c r="D384" s="60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2.0" customHeight="1">
      <c r="A385" s="9"/>
      <c r="B385" s="9"/>
      <c r="C385" s="9"/>
      <c r="D385" s="60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2.0" customHeight="1">
      <c r="A386" s="9"/>
      <c r="B386" s="9"/>
      <c r="C386" s="9"/>
      <c r="D386" s="60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2.0" customHeight="1">
      <c r="A387" s="9"/>
      <c r="B387" s="9"/>
      <c r="C387" s="9"/>
      <c r="D387" s="60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2.0" customHeight="1">
      <c r="A388" s="9"/>
      <c r="B388" s="9"/>
      <c r="C388" s="9"/>
      <c r="D388" s="60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2.0" customHeight="1">
      <c r="A389" s="9"/>
      <c r="B389" s="9"/>
      <c r="C389" s="9"/>
      <c r="D389" s="60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2.0" customHeight="1">
      <c r="A390" s="9"/>
      <c r="B390" s="9"/>
      <c r="C390" s="9"/>
      <c r="D390" s="60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2.0" customHeight="1">
      <c r="A391" s="9"/>
      <c r="B391" s="9"/>
      <c r="C391" s="9"/>
      <c r="D391" s="60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2.0" customHeight="1">
      <c r="A392" s="9"/>
      <c r="B392" s="9"/>
      <c r="C392" s="9"/>
      <c r="D392" s="60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2.0" customHeight="1">
      <c r="A393" s="9"/>
      <c r="B393" s="9"/>
      <c r="C393" s="9"/>
      <c r="D393" s="60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2.0" customHeight="1">
      <c r="A394" s="9"/>
      <c r="B394" s="9"/>
      <c r="C394" s="9"/>
      <c r="D394" s="60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2.0" customHeight="1">
      <c r="A395" s="9"/>
      <c r="B395" s="9"/>
      <c r="C395" s="9"/>
      <c r="D395" s="60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2.0" customHeight="1">
      <c r="A396" s="9"/>
      <c r="B396" s="9"/>
      <c r="C396" s="9"/>
      <c r="D396" s="60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2.0" customHeight="1">
      <c r="A397" s="9"/>
      <c r="B397" s="9"/>
      <c r="C397" s="9"/>
      <c r="D397" s="60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2.0" customHeight="1">
      <c r="A398" s="9"/>
      <c r="B398" s="9"/>
      <c r="C398" s="9"/>
      <c r="D398" s="60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2.0" customHeight="1">
      <c r="A399" s="9"/>
      <c r="B399" s="9"/>
      <c r="C399" s="9"/>
      <c r="D399" s="60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2.0" customHeight="1">
      <c r="A400" s="9"/>
      <c r="B400" s="9"/>
      <c r="C400" s="9"/>
      <c r="D400" s="60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2.0" customHeight="1">
      <c r="A401" s="9"/>
      <c r="B401" s="9"/>
      <c r="C401" s="9"/>
      <c r="D401" s="60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2.0" customHeight="1">
      <c r="A402" s="9"/>
      <c r="B402" s="9"/>
      <c r="C402" s="9"/>
      <c r="D402" s="60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2.0" customHeight="1">
      <c r="A403" s="9"/>
      <c r="B403" s="9"/>
      <c r="C403" s="9"/>
      <c r="D403" s="60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2.0" customHeight="1">
      <c r="A404" s="9"/>
      <c r="B404" s="9"/>
      <c r="C404" s="9"/>
      <c r="D404" s="60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2.0" customHeight="1">
      <c r="A405" s="9"/>
      <c r="B405" s="9"/>
      <c r="C405" s="9"/>
      <c r="D405" s="60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2.0" customHeight="1">
      <c r="A406" s="9"/>
      <c r="B406" s="9"/>
      <c r="C406" s="9"/>
      <c r="D406" s="60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2.0" customHeight="1">
      <c r="A407" s="9"/>
      <c r="B407" s="9"/>
      <c r="C407" s="9"/>
      <c r="D407" s="60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2.0" customHeight="1">
      <c r="A408" s="9"/>
      <c r="B408" s="9"/>
      <c r="C408" s="9"/>
      <c r="D408" s="60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2.0" customHeight="1">
      <c r="A409" s="9"/>
      <c r="B409" s="9"/>
      <c r="C409" s="9"/>
      <c r="D409" s="60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2.0" customHeight="1">
      <c r="A410" s="9"/>
      <c r="B410" s="9"/>
      <c r="C410" s="9"/>
      <c r="D410" s="60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2.0" customHeight="1">
      <c r="A411" s="9"/>
      <c r="B411" s="9"/>
      <c r="C411" s="9"/>
      <c r="D411" s="60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2.0" customHeight="1">
      <c r="A412" s="9"/>
      <c r="B412" s="9"/>
      <c r="C412" s="9"/>
      <c r="D412" s="60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2.0" customHeight="1">
      <c r="A413" s="9"/>
      <c r="B413" s="9"/>
      <c r="C413" s="9"/>
      <c r="D413" s="60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2.0" customHeight="1">
      <c r="A414" s="9"/>
      <c r="B414" s="9"/>
      <c r="C414" s="9"/>
      <c r="D414" s="60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2.0" customHeight="1">
      <c r="A415" s="9"/>
      <c r="B415" s="9"/>
      <c r="C415" s="9"/>
      <c r="D415" s="60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2.0" customHeight="1">
      <c r="A416" s="9"/>
      <c r="B416" s="9"/>
      <c r="C416" s="9"/>
      <c r="D416" s="60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2.0" customHeight="1">
      <c r="A417" s="9"/>
      <c r="B417" s="9"/>
      <c r="C417" s="9"/>
      <c r="D417" s="60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2.0" customHeight="1">
      <c r="A418" s="9"/>
      <c r="B418" s="9"/>
      <c r="C418" s="9"/>
      <c r="D418" s="60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2.0" customHeight="1">
      <c r="A419" s="9"/>
      <c r="B419" s="9"/>
      <c r="C419" s="9"/>
      <c r="D419" s="60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2.0" customHeight="1">
      <c r="A420" s="9"/>
      <c r="B420" s="9"/>
      <c r="C420" s="9"/>
      <c r="D420" s="60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2.0" customHeight="1">
      <c r="A421" s="9"/>
      <c r="B421" s="9"/>
      <c r="C421" s="9"/>
      <c r="D421" s="60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2.0" customHeight="1">
      <c r="A422" s="9"/>
      <c r="B422" s="9"/>
      <c r="C422" s="9"/>
      <c r="D422" s="60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2.0" customHeight="1">
      <c r="A423" s="9"/>
      <c r="B423" s="9"/>
      <c r="C423" s="9"/>
      <c r="D423" s="60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2.0" customHeight="1">
      <c r="A424" s="9"/>
      <c r="B424" s="9"/>
      <c r="C424" s="9"/>
      <c r="D424" s="60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2.0" customHeight="1">
      <c r="A425" s="9"/>
      <c r="B425" s="9"/>
      <c r="C425" s="9"/>
      <c r="D425" s="60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2.0" customHeight="1">
      <c r="A426" s="9"/>
      <c r="B426" s="9"/>
      <c r="C426" s="9"/>
      <c r="D426" s="60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2.0" customHeight="1">
      <c r="A427" s="9"/>
      <c r="B427" s="9"/>
      <c r="C427" s="9"/>
      <c r="D427" s="60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2.0" customHeight="1">
      <c r="A428" s="9"/>
      <c r="B428" s="9"/>
      <c r="C428" s="9"/>
      <c r="D428" s="60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2.0" customHeight="1">
      <c r="A429" s="9"/>
      <c r="B429" s="9"/>
      <c r="C429" s="9"/>
      <c r="D429" s="60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2.0" customHeight="1">
      <c r="A430" s="9"/>
      <c r="B430" s="9"/>
      <c r="C430" s="9"/>
      <c r="D430" s="60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2.0" customHeight="1">
      <c r="A431" s="9"/>
      <c r="B431" s="9"/>
      <c r="C431" s="9"/>
      <c r="D431" s="60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2.0" customHeight="1">
      <c r="A432" s="9"/>
      <c r="B432" s="9"/>
      <c r="C432" s="9"/>
      <c r="D432" s="60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2.0" customHeight="1">
      <c r="A433" s="9"/>
      <c r="B433" s="9"/>
      <c r="C433" s="9"/>
      <c r="D433" s="60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2.0" customHeight="1">
      <c r="A434" s="9"/>
      <c r="B434" s="9"/>
      <c r="C434" s="9"/>
      <c r="D434" s="60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2.0" customHeight="1">
      <c r="A435" s="9"/>
      <c r="B435" s="9"/>
      <c r="C435" s="9"/>
      <c r="D435" s="60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2.0" customHeight="1">
      <c r="A436" s="9"/>
      <c r="B436" s="9"/>
      <c r="C436" s="9"/>
      <c r="D436" s="60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2.0" customHeight="1">
      <c r="A437" s="9"/>
      <c r="B437" s="9"/>
      <c r="C437" s="9"/>
      <c r="D437" s="60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2.0" customHeight="1">
      <c r="A438" s="9"/>
      <c r="B438" s="9"/>
      <c r="C438" s="9"/>
      <c r="D438" s="60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2.0" customHeight="1">
      <c r="A439" s="9"/>
      <c r="B439" s="9"/>
      <c r="C439" s="9"/>
      <c r="D439" s="60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2.0" customHeight="1">
      <c r="A440" s="9"/>
      <c r="B440" s="9"/>
      <c r="C440" s="9"/>
      <c r="D440" s="60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2.0" customHeight="1">
      <c r="A441" s="9"/>
      <c r="B441" s="9"/>
      <c r="C441" s="9"/>
      <c r="D441" s="60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2.0" customHeight="1">
      <c r="A442" s="9"/>
      <c r="B442" s="9"/>
      <c r="C442" s="9"/>
      <c r="D442" s="60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2.0" customHeight="1">
      <c r="A443" s="9"/>
      <c r="B443" s="9"/>
      <c r="C443" s="9"/>
      <c r="D443" s="60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2.0" customHeight="1">
      <c r="A444" s="9"/>
      <c r="B444" s="9"/>
      <c r="C444" s="9"/>
      <c r="D444" s="60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2.0" customHeight="1">
      <c r="A445" s="9"/>
      <c r="B445" s="9"/>
      <c r="C445" s="9"/>
      <c r="D445" s="60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2.0" customHeight="1">
      <c r="A446" s="9"/>
      <c r="B446" s="9"/>
      <c r="C446" s="9"/>
      <c r="D446" s="60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2.0" customHeight="1">
      <c r="A447" s="9"/>
      <c r="B447" s="9"/>
      <c r="C447" s="9"/>
      <c r="D447" s="60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2.0" customHeight="1">
      <c r="A448" s="9"/>
      <c r="B448" s="9"/>
      <c r="C448" s="9"/>
      <c r="D448" s="60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2.0" customHeight="1">
      <c r="A449" s="9"/>
      <c r="B449" s="9"/>
      <c r="C449" s="9"/>
      <c r="D449" s="60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2.0" customHeight="1">
      <c r="A450" s="9"/>
      <c r="B450" s="9"/>
      <c r="C450" s="9"/>
      <c r="D450" s="60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2.0" customHeight="1">
      <c r="A451" s="9"/>
      <c r="B451" s="9"/>
      <c r="C451" s="9"/>
      <c r="D451" s="60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2.0" customHeight="1">
      <c r="A452" s="9"/>
      <c r="B452" s="9"/>
      <c r="C452" s="9"/>
      <c r="D452" s="60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2.0" customHeight="1">
      <c r="A453" s="9"/>
      <c r="B453" s="9"/>
      <c r="C453" s="9"/>
      <c r="D453" s="60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2.0" customHeight="1">
      <c r="A454" s="9"/>
      <c r="B454" s="9"/>
      <c r="C454" s="9"/>
      <c r="D454" s="60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2.0" customHeight="1">
      <c r="A455" s="9"/>
      <c r="B455" s="9"/>
      <c r="C455" s="9"/>
      <c r="D455" s="60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2.0" customHeight="1">
      <c r="A456" s="9"/>
      <c r="B456" s="9"/>
      <c r="C456" s="9"/>
      <c r="D456" s="60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2.0" customHeight="1">
      <c r="A457" s="9"/>
      <c r="B457" s="9"/>
      <c r="C457" s="9"/>
      <c r="D457" s="60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2.0" customHeight="1">
      <c r="A458" s="9"/>
      <c r="B458" s="9"/>
      <c r="C458" s="9"/>
      <c r="D458" s="60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2.0" customHeight="1">
      <c r="A459" s="9"/>
      <c r="B459" s="9"/>
      <c r="C459" s="9"/>
      <c r="D459" s="60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2.0" customHeight="1">
      <c r="A460" s="9"/>
      <c r="B460" s="9"/>
      <c r="C460" s="9"/>
      <c r="D460" s="60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2.0" customHeight="1">
      <c r="A461" s="9"/>
      <c r="B461" s="9"/>
      <c r="C461" s="9"/>
      <c r="D461" s="60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2.0" customHeight="1">
      <c r="A462" s="9"/>
      <c r="B462" s="9"/>
      <c r="C462" s="9"/>
      <c r="D462" s="60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2.0" customHeight="1">
      <c r="A463" s="9"/>
      <c r="B463" s="9"/>
      <c r="C463" s="9"/>
      <c r="D463" s="60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2.0" customHeight="1">
      <c r="A464" s="9"/>
      <c r="B464" s="9"/>
      <c r="C464" s="9"/>
      <c r="D464" s="60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2.0" customHeight="1">
      <c r="A465" s="9"/>
      <c r="B465" s="9"/>
      <c r="C465" s="9"/>
      <c r="D465" s="60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2.0" customHeight="1">
      <c r="A466" s="9"/>
      <c r="B466" s="9"/>
      <c r="C466" s="9"/>
      <c r="D466" s="60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2.0" customHeight="1">
      <c r="A467" s="9"/>
      <c r="B467" s="9"/>
      <c r="C467" s="9"/>
      <c r="D467" s="60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2.0" customHeight="1">
      <c r="A468" s="9"/>
      <c r="B468" s="9"/>
      <c r="C468" s="9"/>
      <c r="D468" s="60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2.0" customHeight="1">
      <c r="A469" s="9"/>
      <c r="B469" s="9"/>
      <c r="C469" s="9"/>
      <c r="D469" s="60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2.0" customHeight="1">
      <c r="A470" s="9"/>
      <c r="B470" s="9"/>
      <c r="C470" s="9"/>
      <c r="D470" s="60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2.0" customHeight="1">
      <c r="A471" s="9"/>
      <c r="B471" s="9"/>
      <c r="C471" s="9"/>
      <c r="D471" s="60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2.0" customHeight="1">
      <c r="A472" s="9"/>
      <c r="B472" s="9"/>
      <c r="C472" s="9"/>
      <c r="D472" s="60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2.0" customHeight="1">
      <c r="A473" s="9"/>
      <c r="B473" s="9"/>
      <c r="C473" s="9"/>
      <c r="D473" s="60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2.0" customHeight="1">
      <c r="A474" s="9"/>
      <c r="B474" s="9"/>
      <c r="C474" s="9"/>
      <c r="D474" s="60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2.0" customHeight="1">
      <c r="A475" s="9"/>
      <c r="B475" s="9"/>
      <c r="C475" s="9"/>
      <c r="D475" s="60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2.0" customHeight="1">
      <c r="A476" s="9"/>
      <c r="B476" s="9"/>
      <c r="C476" s="9"/>
      <c r="D476" s="60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2.0" customHeight="1">
      <c r="A477" s="9"/>
      <c r="B477" s="9"/>
      <c r="C477" s="9"/>
      <c r="D477" s="60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2.0" customHeight="1">
      <c r="A478" s="9"/>
      <c r="B478" s="9"/>
      <c r="C478" s="9"/>
      <c r="D478" s="60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2.0" customHeight="1">
      <c r="A479" s="9"/>
      <c r="B479" s="9"/>
      <c r="C479" s="9"/>
      <c r="D479" s="60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2.0" customHeight="1">
      <c r="A480" s="9"/>
      <c r="B480" s="9"/>
      <c r="C480" s="9"/>
      <c r="D480" s="60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2.0" customHeight="1">
      <c r="A481" s="9"/>
      <c r="B481" s="9"/>
      <c r="C481" s="9"/>
      <c r="D481" s="60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2.0" customHeight="1">
      <c r="A482" s="9"/>
      <c r="B482" s="9"/>
      <c r="C482" s="9"/>
      <c r="D482" s="60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2.0" customHeight="1">
      <c r="A483" s="9"/>
      <c r="B483" s="9"/>
      <c r="C483" s="9"/>
      <c r="D483" s="60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2.0" customHeight="1">
      <c r="A484" s="9"/>
      <c r="B484" s="9"/>
      <c r="C484" s="9"/>
      <c r="D484" s="60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2.0" customHeight="1">
      <c r="A485" s="9"/>
      <c r="B485" s="9"/>
      <c r="C485" s="9"/>
      <c r="D485" s="60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2.0" customHeight="1">
      <c r="A486" s="9"/>
      <c r="B486" s="9"/>
      <c r="C486" s="9"/>
      <c r="D486" s="60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2.0" customHeight="1">
      <c r="A487" s="9"/>
      <c r="B487" s="9"/>
      <c r="C487" s="9"/>
      <c r="D487" s="60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2.0" customHeight="1">
      <c r="A488" s="9"/>
      <c r="B488" s="9"/>
      <c r="C488" s="9"/>
      <c r="D488" s="60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2.0" customHeight="1">
      <c r="A489" s="9"/>
      <c r="B489" s="9"/>
      <c r="C489" s="9"/>
      <c r="D489" s="60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2.0" customHeight="1">
      <c r="A490" s="9"/>
      <c r="B490" s="9"/>
      <c r="C490" s="9"/>
      <c r="D490" s="60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2.0" customHeight="1">
      <c r="A491" s="9"/>
      <c r="B491" s="9"/>
      <c r="C491" s="9"/>
      <c r="D491" s="60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2.0" customHeight="1">
      <c r="A492" s="9"/>
      <c r="B492" s="9"/>
      <c r="C492" s="9"/>
      <c r="D492" s="60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2.0" customHeight="1">
      <c r="A493" s="9"/>
      <c r="B493" s="9"/>
      <c r="C493" s="9"/>
      <c r="D493" s="60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2.0" customHeight="1">
      <c r="A494" s="9"/>
      <c r="B494" s="9"/>
      <c r="C494" s="9"/>
      <c r="D494" s="60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2.0" customHeight="1">
      <c r="A495" s="9"/>
      <c r="B495" s="9"/>
      <c r="C495" s="9"/>
      <c r="D495" s="60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2.0" customHeight="1">
      <c r="A496" s="9"/>
      <c r="B496" s="9"/>
      <c r="C496" s="9"/>
      <c r="D496" s="60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2.0" customHeight="1">
      <c r="A497" s="9"/>
      <c r="B497" s="9"/>
      <c r="C497" s="9"/>
      <c r="D497" s="60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2.0" customHeight="1">
      <c r="A498" s="9"/>
      <c r="B498" s="9"/>
      <c r="C498" s="9"/>
      <c r="D498" s="60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2.0" customHeight="1">
      <c r="A499" s="9"/>
      <c r="B499" s="9"/>
      <c r="C499" s="9"/>
      <c r="D499" s="60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2.0" customHeight="1">
      <c r="A500" s="9"/>
      <c r="B500" s="9"/>
      <c r="C500" s="9"/>
      <c r="D500" s="60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2.0" customHeight="1">
      <c r="A501" s="9"/>
      <c r="B501" s="9"/>
      <c r="C501" s="9"/>
      <c r="D501" s="60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2.0" customHeight="1">
      <c r="A502" s="9"/>
      <c r="B502" s="9"/>
      <c r="C502" s="9"/>
      <c r="D502" s="60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2.0" customHeight="1">
      <c r="A503" s="9"/>
      <c r="B503" s="9"/>
      <c r="C503" s="9"/>
      <c r="D503" s="60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2.0" customHeight="1">
      <c r="A504" s="9"/>
      <c r="B504" s="9"/>
      <c r="C504" s="9"/>
      <c r="D504" s="60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2.0" customHeight="1">
      <c r="A505" s="9"/>
      <c r="B505" s="9"/>
      <c r="C505" s="9"/>
      <c r="D505" s="60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2.0" customHeight="1">
      <c r="A506" s="9"/>
      <c r="B506" s="9"/>
      <c r="C506" s="9"/>
      <c r="D506" s="60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2.0" customHeight="1">
      <c r="A507" s="9"/>
      <c r="B507" s="9"/>
      <c r="C507" s="9"/>
      <c r="D507" s="60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2.0" customHeight="1">
      <c r="A508" s="9"/>
      <c r="B508" s="9"/>
      <c r="C508" s="9"/>
      <c r="D508" s="60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2.0" customHeight="1">
      <c r="A509" s="9"/>
      <c r="B509" s="9"/>
      <c r="C509" s="9"/>
      <c r="D509" s="60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2.0" customHeight="1">
      <c r="A510" s="9"/>
      <c r="B510" s="9"/>
      <c r="C510" s="9"/>
      <c r="D510" s="60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2.0" customHeight="1">
      <c r="A511" s="9"/>
      <c r="B511" s="9"/>
      <c r="C511" s="9"/>
      <c r="D511" s="60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2.0" customHeight="1">
      <c r="A512" s="9"/>
      <c r="B512" s="9"/>
      <c r="C512" s="9"/>
      <c r="D512" s="60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2.0" customHeight="1">
      <c r="A513" s="9"/>
      <c r="B513" s="9"/>
      <c r="C513" s="9"/>
      <c r="D513" s="60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2.0" customHeight="1">
      <c r="A514" s="9"/>
      <c r="B514" s="9"/>
      <c r="C514" s="9"/>
      <c r="D514" s="60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2.0" customHeight="1">
      <c r="A515" s="9"/>
      <c r="B515" s="9"/>
      <c r="C515" s="9"/>
      <c r="D515" s="60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2.0" customHeight="1">
      <c r="A516" s="9"/>
      <c r="B516" s="9"/>
      <c r="C516" s="9"/>
      <c r="D516" s="60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2.0" customHeight="1">
      <c r="A517" s="9"/>
      <c r="B517" s="9"/>
      <c r="C517" s="9"/>
      <c r="D517" s="60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2.0" customHeight="1">
      <c r="A518" s="9"/>
      <c r="B518" s="9"/>
      <c r="C518" s="9"/>
      <c r="D518" s="60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2.0" customHeight="1">
      <c r="A519" s="9"/>
      <c r="B519" s="9"/>
      <c r="C519" s="9"/>
      <c r="D519" s="60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2.0" customHeight="1">
      <c r="A520" s="9"/>
      <c r="B520" s="9"/>
      <c r="C520" s="9"/>
      <c r="D520" s="60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2.0" customHeight="1">
      <c r="A521" s="9"/>
      <c r="B521" s="9"/>
      <c r="C521" s="9"/>
      <c r="D521" s="60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2.0" customHeight="1">
      <c r="A522" s="9"/>
      <c r="B522" s="9"/>
      <c r="C522" s="9"/>
      <c r="D522" s="60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2.0" customHeight="1">
      <c r="A523" s="9"/>
      <c r="B523" s="9"/>
      <c r="C523" s="9"/>
      <c r="D523" s="60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2.0" customHeight="1">
      <c r="A524" s="9"/>
      <c r="B524" s="9"/>
      <c r="C524" s="9"/>
      <c r="D524" s="60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2.0" customHeight="1">
      <c r="A525" s="9"/>
      <c r="B525" s="9"/>
      <c r="C525" s="9"/>
      <c r="D525" s="60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2.0" customHeight="1">
      <c r="A526" s="9"/>
      <c r="B526" s="9"/>
      <c r="C526" s="9"/>
      <c r="D526" s="60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2.0" customHeight="1">
      <c r="A527" s="9"/>
      <c r="B527" s="9"/>
      <c r="C527" s="9"/>
      <c r="D527" s="60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2.0" customHeight="1">
      <c r="A528" s="9"/>
      <c r="B528" s="9"/>
      <c r="C528" s="9"/>
      <c r="D528" s="60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2.0" customHeight="1">
      <c r="A529" s="9"/>
      <c r="B529" s="9"/>
      <c r="C529" s="9"/>
      <c r="D529" s="60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2.0" customHeight="1">
      <c r="A530" s="9"/>
      <c r="B530" s="9"/>
      <c r="C530" s="9"/>
      <c r="D530" s="60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2.0" customHeight="1">
      <c r="A531" s="9"/>
      <c r="B531" s="9"/>
      <c r="C531" s="9"/>
      <c r="D531" s="60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2.0" customHeight="1">
      <c r="A532" s="9"/>
      <c r="B532" s="9"/>
      <c r="C532" s="9"/>
      <c r="D532" s="60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2.0" customHeight="1">
      <c r="A533" s="9"/>
      <c r="B533" s="9"/>
      <c r="C533" s="9"/>
      <c r="D533" s="60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2.0" customHeight="1">
      <c r="A534" s="9"/>
      <c r="B534" s="9"/>
      <c r="C534" s="9"/>
      <c r="D534" s="60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2.0" customHeight="1">
      <c r="A535" s="9"/>
      <c r="B535" s="9"/>
      <c r="C535" s="9"/>
      <c r="D535" s="60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2.0" customHeight="1">
      <c r="A536" s="9"/>
      <c r="B536" s="9"/>
      <c r="C536" s="9"/>
      <c r="D536" s="60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2.0" customHeight="1">
      <c r="A537" s="9"/>
      <c r="B537" s="9"/>
      <c r="C537" s="9"/>
      <c r="D537" s="60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2.0" customHeight="1">
      <c r="A538" s="9"/>
      <c r="B538" s="9"/>
      <c r="C538" s="9"/>
      <c r="D538" s="60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2.0" customHeight="1">
      <c r="A539" s="9"/>
      <c r="B539" s="9"/>
      <c r="C539" s="9"/>
      <c r="D539" s="60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2.0" customHeight="1">
      <c r="A540" s="9"/>
      <c r="B540" s="9"/>
      <c r="C540" s="9"/>
      <c r="D540" s="60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2.0" customHeight="1">
      <c r="A541" s="9"/>
      <c r="B541" s="9"/>
      <c r="C541" s="9"/>
      <c r="D541" s="60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2.0" customHeight="1">
      <c r="A542" s="9"/>
      <c r="B542" s="9"/>
      <c r="C542" s="9"/>
      <c r="D542" s="60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2.0" customHeight="1">
      <c r="A543" s="9"/>
      <c r="B543" s="9"/>
      <c r="C543" s="9"/>
      <c r="D543" s="60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2.0" customHeight="1">
      <c r="A544" s="9"/>
      <c r="B544" s="9"/>
      <c r="C544" s="9"/>
      <c r="D544" s="60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2.0" customHeight="1">
      <c r="A545" s="9"/>
      <c r="B545" s="9"/>
      <c r="C545" s="9"/>
      <c r="D545" s="60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2.0" customHeight="1">
      <c r="A546" s="9"/>
      <c r="B546" s="9"/>
      <c r="C546" s="9"/>
      <c r="D546" s="60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2.0" customHeight="1">
      <c r="A547" s="9"/>
      <c r="B547" s="9"/>
      <c r="C547" s="9"/>
      <c r="D547" s="60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2.0" customHeight="1">
      <c r="A548" s="9"/>
      <c r="B548" s="9"/>
      <c r="C548" s="9"/>
      <c r="D548" s="60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2.0" customHeight="1">
      <c r="A549" s="9"/>
      <c r="B549" s="9"/>
      <c r="C549" s="9"/>
      <c r="D549" s="60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2.0" customHeight="1">
      <c r="A550" s="9"/>
      <c r="B550" s="9"/>
      <c r="C550" s="9"/>
      <c r="D550" s="60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2.0" customHeight="1">
      <c r="A551" s="9"/>
      <c r="B551" s="9"/>
      <c r="C551" s="9"/>
      <c r="D551" s="60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2.0" customHeight="1">
      <c r="A552" s="9"/>
      <c r="B552" s="9"/>
      <c r="C552" s="9"/>
      <c r="D552" s="60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2.0" customHeight="1">
      <c r="A553" s="9"/>
      <c r="B553" s="9"/>
      <c r="C553" s="9"/>
      <c r="D553" s="60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2.0" customHeight="1">
      <c r="A554" s="9"/>
      <c r="B554" s="9"/>
      <c r="C554" s="9"/>
      <c r="D554" s="60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2.0" customHeight="1">
      <c r="A555" s="9"/>
      <c r="B555" s="9"/>
      <c r="C555" s="9"/>
      <c r="D555" s="60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2.0" customHeight="1">
      <c r="A556" s="9"/>
      <c r="B556" s="9"/>
      <c r="C556" s="9"/>
      <c r="D556" s="60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2.0" customHeight="1">
      <c r="A557" s="9"/>
      <c r="B557" s="9"/>
      <c r="C557" s="9"/>
      <c r="D557" s="60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2.0" customHeight="1">
      <c r="A558" s="9"/>
      <c r="B558" s="9"/>
      <c r="C558" s="9"/>
      <c r="D558" s="60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2.0" customHeight="1">
      <c r="A559" s="9"/>
      <c r="B559" s="9"/>
      <c r="C559" s="9"/>
      <c r="D559" s="60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2.0" customHeight="1">
      <c r="A560" s="9"/>
      <c r="B560" s="9"/>
      <c r="C560" s="9"/>
      <c r="D560" s="60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2.0" customHeight="1">
      <c r="A561" s="9"/>
      <c r="B561" s="9"/>
      <c r="C561" s="9"/>
      <c r="D561" s="60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2.0" customHeight="1">
      <c r="A562" s="9"/>
      <c r="B562" s="9"/>
      <c r="C562" s="9"/>
      <c r="D562" s="60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2.0" customHeight="1">
      <c r="A563" s="9"/>
      <c r="B563" s="9"/>
      <c r="C563" s="9"/>
      <c r="D563" s="60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2.0" customHeight="1">
      <c r="A564" s="9"/>
      <c r="B564" s="9"/>
      <c r="C564" s="9"/>
      <c r="D564" s="60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2.0" customHeight="1">
      <c r="A565" s="9"/>
      <c r="B565" s="9"/>
      <c r="C565" s="9"/>
      <c r="D565" s="60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2.0" customHeight="1">
      <c r="A566" s="9"/>
      <c r="B566" s="9"/>
      <c r="C566" s="9"/>
      <c r="D566" s="60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2.0" customHeight="1">
      <c r="A567" s="9"/>
      <c r="B567" s="9"/>
      <c r="C567" s="9"/>
      <c r="D567" s="60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2.0" customHeight="1">
      <c r="A568" s="9"/>
      <c r="B568" s="9"/>
      <c r="C568" s="9"/>
      <c r="D568" s="60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2.0" customHeight="1">
      <c r="A569" s="9"/>
      <c r="B569" s="9"/>
      <c r="C569" s="9"/>
      <c r="D569" s="60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2.0" customHeight="1">
      <c r="A570" s="9"/>
      <c r="B570" s="9"/>
      <c r="C570" s="9"/>
      <c r="D570" s="60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2.0" customHeight="1">
      <c r="A571" s="9"/>
      <c r="B571" s="9"/>
      <c r="C571" s="9"/>
      <c r="D571" s="60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2.0" customHeight="1">
      <c r="A572" s="9"/>
      <c r="B572" s="9"/>
      <c r="C572" s="9"/>
      <c r="D572" s="60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2.0" customHeight="1">
      <c r="A573" s="9"/>
      <c r="B573" s="9"/>
      <c r="C573" s="9"/>
      <c r="D573" s="60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2.0" customHeight="1">
      <c r="A574" s="9"/>
      <c r="B574" s="9"/>
      <c r="C574" s="9"/>
      <c r="D574" s="60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2.0" customHeight="1">
      <c r="A575" s="9"/>
      <c r="B575" s="9"/>
      <c r="C575" s="9"/>
      <c r="D575" s="60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2.0" customHeight="1">
      <c r="A576" s="9"/>
      <c r="B576" s="9"/>
      <c r="C576" s="9"/>
      <c r="D576" s="60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2.0" customHeight="1">
      <c r="A577" s="9"/>
      <c r="B577" s="9"/>
      <c r="C577" s="9"/>
      <c r="D577" s="60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2.0" customHeight="1">
      <c r="A578" s="9"/>
      <c r="B578" s="9"/>
      <c r="C578" s="9"/>
      <c r="D578" s="60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2.0" customHeight="1">
      <c r="A579" s="9"/>
      <c r="B579" s="9"/>
      <c r="C579" s="9"/>
      <c r="D579" s="60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2.0" customHeight="1">
      <c r="A580" s="9"/>
      <c r="B580" s="9"/>
      <c r="C580" s="9"/>
      <c r="D580" s="60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2.0" customHeight="1">
      <c r="A581" s="9"/>
      <c r="B581" s="9"/>
      <c r="C581" s="9"/>
      <c r="D581" s="60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2.0" customHeight="1">
      <c r="A582" s="9"/>
      <c r="B582" s="9"/>
      <c r="C582" s="9"/>
      <c r="D582" s="60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2.0" customHeight="1">
      <c r="A583" s="9"/>
      <c r="B583" s="9"/>
      <c r="C583" s="9"/>
      <c r="D583" s="60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2.0" customHeight="1">
      <c r="A584" s="9"/>
      <c r="B584" s="9"/>
      <c r="C584" s="9"/>
      <c r="D584" s="60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2.0" customHeight="1">
      <c r="A585" s="9"/>
      <c r="B585" s="9"/>
      <c r="C585" s="9"/>
      <c r="D585" s="60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2.0" customHeight="1">
      <c r="A586" s="9"/>
      <c r="B586" s="9"/>
      <c r="C586" s="9"/>
      <c r="D586" s="60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2.0" customHeight="1">
      <c r="A587" s="9"/>
      <c r="B587" s="9"/>
      <c r="C587" s="9"/>
      <c r="D587" s="60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2.0" customHeight="1">
      <c r="A588" s="9"/>
      <c r="B588" s="9"/>
      <c r="C588" s="9"/>
      <c r="D588" s="60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2.0" customHeight="1">
      <c r="A589" s="9"/>
      <c r="B589" s="9"/>
      <c r="C589" s="9"/>
      <c r="D589" s="60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2.0" customHeight="1">
      <c r="A590" s="9"/>
      <c r="B590" s="9"/>
      <c r="C590" s="9"/>
      <c r="D590" s="60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2.0" customHeight="1">
      <c r="A591" s="9"/>
      <c r="B591" s="9"/>
      <c r="C591" s="9"/>
      <c r="D591" s="60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2.0" customHeight="1">
      <c r="A592" s="9"/>
      <c r="B592" s="9"/>
      <c r="C592" s="9"/>
      <c r="D592" s="60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2.0" customHeight="1">
      <c r="A593" s="9"/>
      <c r="B593" s="9"/>
      <c r="C593" s="9"/>
      <c r="D593" s="60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2.0" customHeight="1">
      <c r="A594" s="9"/>
      <c r="B594" s="9"/>
      <c r="C594" s="9"/>
      <c r="D594" s="60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2.0" customHeight="1">
      <c r="A595" s="9"/>
      <c r="B595" s="9"/>
      <c r="C595" s="9"/>
      <c r="D595" s="60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2.0" customHeight="1">
      <c r="A596" s="9"/>
      <c r="B596" s="9"/>
      <c r="C596" s="9"/>
      <c r="D596" s="60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2.0" customHeight="1">
      <c r="A597" s="9"/>
      <c r="B597" s="9"/>
      <c r="C597" s="9"/>
      <c r="D597" s="60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2.0" customHeight="1">
      <c r="A598" s="9"/>
      <c r="B598" s="9"/>
      <c r="C598" s="9"/>
      <c r="D598" s="60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2.0" customHeight="1">
      <c r="A599" s="9"/>
      <c r="B599" s="9"/>
      <c r="C599" s="9"/>
      <c r="D599" s="60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2.0" customHeight="1">
      <c r="A600" s="9"/>
      <c r="B600" s="9"/>
      <c r="C600" s="9"/>
      <c r="D600" s="60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2.0" customHeight="1">
      <c r="A601" s="9"/>
      <c r="B601" s="9"/>
      <c r="C601" s="9"/>
      <c r="D601" s="60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2.0" customHeight="1">
      <c r="A602" s="9"/>
      <c r="B602" s="9"/>
      <c r="C602" s="9"/>
      <c r="D602" s="60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2.0" customHeight="1">
      <c r="A603" s="9"/>
      <c r="B603" s="9"/>
      <c r="C603" s="9"/>
      <c r="D603" s="60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2.0" customHeight="1">
      <c r="A604" s="9"/>
      <c r="B604" s="9"/>
      <c r="C604" s="9"/>
      <c r="D604" s="60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2.0" customHeight="1">
      <c r="A605" s="9"/>
      <c r="B605" s="9"/>
      <c r="C605" s="9"/>
      <c r="D605" s="60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2.0" customHeight="1">
      <c r="A606" s="9"/>
      <c r="B606" s="9"/>
      <c r="C606" s="9"/>
      <c r="D606" s="60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2.0" customHeight="1">
      <c r="A607" s="9"/>
      <c r="B607" s="9"/>
      <c r="C607" s="9"/>
      <c r="D607" s="60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2.0" customHeight="1">
      <c r="A608" s="9"/>
      <c r="B608" s="9"/>
      <c r="C608" s="9"/>
      <c r="D608" s="60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2.0" customHeight="1">
      <c r="A609" s="9"/>
      <c r="B609" s="9"/>
      <c r="C609" s="9"/>
      <c r="D609" s="60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2.0" customHeight="1">
      <c r="A610" s="9"/>
      <c r="B610" s="9"/>
      <c r="C610" s="9"/>
      <c r="D610" s="60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2.0" customHeight="1">
      <c r="A611" s="9"/>
      <c r="B611" s="9"/>
      <c r="C611" s="9"/>
      <c r="D611" s="60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2.0" customHeight="1">
      <c r="A612" s="9"/>
      <c r="B612" s="9"/>
      <c r="C612" s="9"/>
      <c r="D612" s="60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2.0" customHeight="1">
      <c r="A613" s="9"/>
      <c r="B613" s="9"/>
      <c r="C613" s="9"/>
      <c r="D613" s="60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2.0" customHeight="1">
      <c r="A614" s="9"/>
      <c r="B614" s="9"/>
      <c r="C614" s="9"/>
      <c r="D614" s="60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2.0" customHeight="1">
      <c r="A615" s="9"/>
      <c r="B615" s="9"/>
      <c r="C615" s="9"/>
      <c r="D615" s="60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2.0" customHeight="1">
      <c r="A616" s="9"/>
      <c r="B616" s="9"/>
      <c r="C616" s="9"/>
      <c r="D616" s="60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2.0" customHeight="1">
      <c r="A617" s="9"/>
      <c r="B617" s="9"/>
      <c r="C617" s="9"/>
      <c r="D617" s="60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2.0" customHeight="1">
      <c r="A618" s="9"/>
      <c r="B618" s="9"/>
      <c r="C618" s="9"/>
      <c r="D618" s="60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2.0" customHeight="1">
      <c r="A619" s="9"/>
      <c r="B619" s="9"/>
      <c r="C619" s="9"/>
      <c r="D619" s="60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2.0" customHeight="1">
      <c r="A620" s="9"/>
      <c r="B620" s="9"/>
      <c r="C620" s="9"/>
      <c r="D620" s="60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2.0" customHeight="1">
      <c r="A621" s="9"/>
      <c r="B621" s="9"/>
      <c r="C621" s="9"/>
      <c r="D621" s="60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2.0" customHeight="1">
      <c r="A622" s="9"/>
      <c r="B622" s="9"/>
      <c r="C622" s="9"/>
      <c r="D622" s="60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2.0" customHeight="1">
      <c r="A623" s="9"/>
      <c r="B623" s="9"/>
      <c r="C623" s="9"/>
      <c r="D623" s="60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2.0" customHeight="1">
      <c r="A624" s="9"/>
      <c r="B624" s="9"/>
      <c r="C624" s="9"/>
      <c r="D624" s="60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2.0" customHeight="1">
      <c r="A625" s="9"/>
      <c r="B625" s="9"/>
      <c r="C625" s="9"/>
      <c r="D625" s="60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2.0" customHeight="1">
      <c r="A626" s="9"/>
      <c r="B626" s="9"/>
      <c r="C626" s="9"/>
      <c r="D626" s="60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2.0" customHeight="1">
      <c r="A627" s="9"/>
      <c r="B627" s="9"/>
      <c r="C627" s="9"/>
      <c r="D627" s="60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2.0" customHeight="1">
      <c r="A628" s="9"/>
      <c r="B628" s="9"/>
      <c r="C628" s="9"/>
      <c r="D628" s="60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2.0" customHeight="1">
      <c r="A629" s="9"/>
      <c r="B629" s="9"/>
      <c r="C629" s="9"/>
      <c r="D629" s="60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2.0" customHeight="1">
      <c r="A630" s="9"/>
      <c r="B630" s="9"/>
      <c r="C630" s="9"/>
      <c r="D630" s="60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2.0" customHeight="1">
      <c r="A631" s="9"/>
      <c r="B631" s="9"/>
      <c r="C631" s="9"/>
      <c r="D631" s="60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2.0" customHeight="1">
      <c r="A632" s="9"/>
      <c r="B632" s="9"/>
      <c r="C632" s="9"/>
      <c r="D632" s="60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2.0" customHeight="1">
      <c r="A633" s="9"/>
      <c r="B633" s="9"/>
      <c r="C633" s="9"/>
      <c r="D633" s="60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2.0" customHeight="1">
      <c r="A634" s="9"/>
      <c r="B634" s="9"/>
      <c r="C634" s="9"/>
      <c r="D634" s="60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2.0" customHeight="1">
      <c r="A635" s="9"/>
      <c r="B635" s="9"/>
      <c r="C635" s="9"/>
      <c r="D635" s="60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2.0" customHeight="1">
      <c r="A636" s="9"/>
      <c r="B636" s="9"/>
      <c r="C636" s="9"/>
      <c r="D636" s="60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2.0" customHeight="1">
      <c r="A637" s="9"/>
      <c r="B637" s="9"/>
      <c r="C637" s="9"/>
      <c r="D637" s="60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2.0" customHeight="1">
      <c r="A638" s="9"/>
      <c r="B638" s="9"/>
      <c r="C638" s="9"/>
      <c r="D638" s="60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2.0" customHeight="1">
      <c r="A639" s="9"/>
      <c r="B639" s="9"/>
      <c r="C639" s="9"/>
      <c r="D639" s="60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2.0" customHeight="1">
      <c r="A640" s="9"/>
      <c r="B640" s="9"/>
      <c r="C640" s="9"/>
      <c r="D640" s="60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2.0" customHeight="1">
      <c r="A641" s="9"/>
      <c r="B641" s="9"/>
      <c r="C641" s="9"/>
      <c r="D641" s="60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2.0" customHeight="1">
      <c r="A642" s="9"/>
      <c r="B642" s="9"/>
      <c r="C642" s="9"/>
      <c r="D642" s="60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2.0" customHeight="1">
      <c r="A643" s="9"/>
      <c r="B643" s="9"/>
      <c r="C643" s="9"/>
      <c r="D643" s="60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2.0" customHeight="1">
      <c r="A644" s="9"/>
      <c r="B644" s="9"/>
      <c r="C644" s="9"/>
      <c r="D644" s="60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2.0" customHeight="1">
      <c r="A645" s="9"/>
      <c r="B645" s="9"/>
      <c r="C645" s="9"/>
      <c r="D645" s="60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2.0" customHeight="1">
      <c r="A646" s="9"/>
      <c r="B646" s="9"/>
      <c r="C646" s="9"/>
      <c r="D646" s="60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2.0" customHeight="1">
      <c r="A647" s="9"/>
      <c r="B647" s="9"/>
      <c r="C647" s="9"/>
      <c r="D647" s="60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2.0" customHeight="1">
      <c r="A648" s="9"/>
      <c r="B648" s="9"/>
      <c r="C648" s="9"/>
      <c r="D648" s="60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2.0" customHeight="1">
      <c r="A649" s="9"/>
      <c r="B649" s="9"/>
      <c r="C649" s="9"/>
      <c r="D649" s="60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2.0" customHeight="1">
      <c r="A650" s="9"/>
      <c r="B650" s="9"/>
      <c r="C650" s="9"/>
      <c r="D650" s="60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2.0" customHeight="1">
      <c r="A651" s="9"/>
      <c r="B651" s="9"/>
      <c r="C651" s="9"/>
      <c r="D651" s="60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2.0" customHeight="1">
      <c r="A652" s="9"/>
      <c r="B652" s="9"/>
      <c r="C652" s="9"/>
      <c r="D652" s="60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2.0" customHeight="1">
      <c r="A653" s="9"/>
      <c r="B653" s="9"/>
      <c r="C653" s="9"/>
      <c r="D653" s="60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2.0" customHeight="1">
      <c r="A654" s="9"/>
      <c r="B654" s="9"/>
      <c r="C654" s="9"/>
      <c r="D654" s="60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2.0" customHeight="1">
      <c r="A655" s="9"/>
      <c r="B655" s="9"/>
      <c r="C655" s="9"/>
      <c r="D655" s="60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2.0" customHeight="1">
      <c r="A656" s="9"/>
      <c r="B656" s="9"/>
      <c r="C656" s="9"/>
      <c r="D656" s="60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2.0" customHeight="1">
      <c r="A657" s="9"/>
      <c r="B657" s="9"/>
      <c r="C657" s="9"/>
      <c r="D657" s="60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2.0" customHeight="1">
      <c r="A658" s="9"/>
      <c r="B658" s="9"/>
      <c r="C658" s="9"/>
      <c r="D658" s="60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2.0" customHeight="1">
      <c r="A659" s="9"/>
      <c r="B659" s="9"/>
      <c r="C659" s="9"/>
      <c r="D659" s="60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2.0" customHeight="1">
      <c r="A660" s="9"/>
      <c r="B660" s="9"/>
      <c r="C660" s="9"/>
      <c r="D660" s="60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2.0" customHeight="1">
      <c r="A661" s="9"/>
      <c r="B661" s="9"/>
      <c r="C661" s="9"/>
      <c r="D661" s="60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2.0" customHeight="1">
      <c r="A662" s="9"/>
      <c r="B662" s="9"/>
      <c r="C662" s="9"/>
      <c r="D662" s="60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2.0" customHeight="1">
      <c r="A663" s="9"/>
      <c r="B663" s="9"/>
      <c r="C663" s="9"/>
      <c r="D663" s="60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2.0" customHeight="1">
      <c r="A664" s="9"/>
      <c r="B664" s="9"/>
      <c r="C664" s="9"/>
      <c r="D664" s="60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2.0" customHeight="1">
      <c r="A665" s="9"/>
      <c r="B665" s="9"/>
      <c r="C665" s="9"/>
      <c r="D665" s="60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2.0" customHeight="1">
      <c r="A666" s="9"/>
      <c r="B666" s="9"/>
      <c r="C666" s="9"/>
      <c r="D666" s="60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2.0" customHeight="1">
      <c r="A667" s="9"/>
      <c r="B667" s="9"/>
      <c r="C667" s="9"/>
      <c r="D667" s="60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2.0" customHeight="1">
      <c r="A668" s="9"/>
      <c r="B668" s="9"/>
      <c r="C668" s="9"/>
      <c r="D668" s="60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2.0" customHeight="1">
      <c r="A669" s="9"/>
      <c r="B669" s="9"/>
      <c r="C669" s="9"/>
      <c r="D669" s="60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2.0" customHeight="1">
      <c r="A670" s="9"/>
      <c r="B670" s="9"/>
      <c r="C670" s="9"/>
      <c r="D670" s="60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2.0" customHeight="1">
      <c r="A671" s="9"/>
      <c r="B671" s="9"/>
      <c r="C671" s="9"/>
      <c r="D671" s="60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2.0" customHeight="1">
      <c r="A672" s="9"/>
      <c r="B672" s="9"/>
      <c r="C672" s="9"/>
      <c r="D672" s="60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2.0" customHeight="1">
      <c r="A673" s="9"/>
      <c r="B673" s="9"/>
      <c r="C673" s="9"/>
      <c r="D673" s="60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2.0" customHeight="1">
      <c r="A674" s="9"/>
      <c r="B674" s="9"/>
      <c r="C674" s="9"/>
      <c r="D674" s="60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2.0" customHeight="1">
      <c r="A675" s="9"/>
      <c r="B675" s="9"/>
      <c r="C675" s="9"/>
      <c r="D675" s="60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2.0" customHeight="1">
      <c r="A676" s="9"/>
      <c r="B676" s="9"/>
      <c r="C676" s="9"/>
      <c r="D676" s="60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2.0" customHeight="1">
      <c r="A677" s="9"/>
      <c r="B677" s="9"/>
      <c r="C677" s="9"/>
      <c r="D677" s="60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2.0" customHeight="1">
      <c r="A678" s="9"/>
      <c r="B678" s="9"/>
      <c r="C678" s="9"/>
      <c r="D678" s="60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2.0" customHeight="1">
      <c r="A679" s="9"/>
      <c r="B679" s="9"/>
      <c r="C679" s="9"/>
      <c r="D679" s="60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2.0" customHeight="1">
      <c r="A680" s="9"/>
      <c r="B680" s="9"/>
      <c r="C680" s="9"/>
      <c r="D680" s="60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2.0" customHeight="1">
      <c r="A681" s="9"/>
      <c r="B681" s="9"/>
      <c r="C681" s="9"/>
      <c r="D681" s="60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2.0" customHeight="1">
      <c r="A682" s="9"/>
      <c r="B682" s="9"/>
      <c r="C682" s="9"/>
      <c r="D682" s="60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2.0" customHeight="1">
      <c r="A683" s="9"/>
      <c r="B683" s="9"/>
      <c r="C683" s="9"/>
      <c r="D683" s="60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2.0" customHeight="1">
      <c r="A684" s="9"/>
      <c r="B684" s="9"/>
      <c r="C684" s="9"/>
      <c r="D684" s="60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2.0" customHeight="1">
      <c r="A685" s="9"/>
      <c r="B685" s="9"/>
      <c r="C685" s="9"/>
      <c r="D685" s="60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2.0" customHeight="1">
      <c r="A686" s="9"/>
      <c r="B686" s="9"/>
      <c r="C686" s="9"/>
      <c r="D686" s="60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2.0" customHeight="1">
      <c r="A687" s="9"/>
      <c r="B687" s="9"/>
      <c r="C687" s="9"/>
      <c r="D687" s="60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2.0" customHeight="1">
      <c r="A688" s="9"/>
      <c r="B688" s="9"/>
      <c r="C688" s="9"/>
      <c r="D688" s="60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2.0" customHeight="1">
      <c r="A689" s="9"/>
      <c r="B689" s="9"/>
      <c r="C689" s="9"/>
      <c r="D689" s="60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2.0" customHeight="1">
      <c r="A690" s="9"/>
      <c r="B690" s="9"/>
      <c r="C690" s="9"/>
      <c r="D690" s="60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2.0" customHeight="1">
      <c r="A691" s="9"/>
      <c r="B691" s="9"/>
      <c r="C691" s="9"/>
      <c r="D691" s="60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2.0" customHeight="1">
      <c r="A692" s="9"/>
      <c r="B692" s="9"/>
      <c r="C692" s="9"/>
      <c r="D692" s="60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2.0" customHeight="1">
      <c r="A693" s="9"/>
      <c r="B693" s="9"/>
      <c r="C693" s="9"/>
      <c r="D693" s="60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2.0" customHeight="1">
      <c r="A694" s="9"/>
      <c r="B694" s="9"/>
      <c r="C694" s="9"/>
      <c r="D694" s="60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2.0" customHeight="1">
      <c r="A695" s="9"/>
      <c r="B695" s="9"/>
      <c r="C695" s="9"/>
      <c r="D695" s="60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2.0" customHeight="1">
      <c r="A696" s="9"/>
      <c r="B696" s="9"/>
      <c r="C696" s="9"/>
      <c r="D696" s="60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2.0" customHeight="1">
      <c r="A697" s="9"/>
      <c r="B697" s="9"/>
      <c r="C697" s="9"/>
      <c r="D697" s="60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2.0" customHeight="1">
      <c r="A698" s="9"/>
      <c r="B698" s="9"/>
      <c r="C698" s="9"/>
      <c r="D698" s="60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2.0" customHeight="1">
      <c r="A699" s="9"/>
      <c r="B699" s="9"/>
      <c r="C699" s="9"/>
      <c r="D699" s="60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2.0" customHeight="1">
      <c r="A700" s="9"/>
      <c r="B700" s="9"/>
      <c r="C700" s="9"/>
      <c r="D700" s="60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2.0" customHeight="1">
      <c r="A701" s="9"/>
      <c r="B701" s="9"/>
      <c r="C701" s="9"/>
      <c r="D701" s="60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2.0" customHeight="1">
      <c r="A702" s="9"/>
      <c r="B702" s="9"/>
      <c r="C702" s="9"/>
      <c r="D702" s="60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2.0" customHeight="1">
      <c r="A703" s="9"/>
      <c r="B703" s="9"/>
      <c r="C703" s="9"/>
      <c r="D703" s="60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2.0" customHeight="1">
      <c r="A704" s="9"/>
      <c r="B704" s="9"/>
      <c r="C704" s="9"/>
      <c r="D704" s="60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2.0" customHeight="1">
      <c r="A705" s="9"/>
      <c r="B705" s="9"/>
      <c r="C705" s="9"/>
      <c r="D705" s="60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2.0" customHeight="1">
      <c r="A706" s="9"/>
      <c r="B706" s="9"/>
      <c r="C706" s="9"/>
      <c r="D706" s="60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2.0" customHeight="1">
      <c r="A707" s="9"/>
      <c r="B707" s="9"/>
      <c r="C707" s="9"/>
      <c r="D707" s="60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2.0" customHeight="1">
      <c r="A708" s="9"/>
      <c r="B708" s="9"/>
      <c r="C708" s="9"/>
      <c r="D708" s="60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2.0" customHeight="1">
      <c r="A709" s="9"/>
      <c r="B709" s="9"/>
      <c r="C709" s="9"/>
      <c r="D709" s="60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2.0" customHeight="1">
      <c r="A710" s="9"/>
      <c r="B710" s="9"/>
      <c r="C710" s="9"/>
      <c r="D710" s="60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2.0" customHeight="1">
      <c r="A711" s="9"/>
      <c r="B711" s="9"/>
      <c r="C711" s="9"/>
      <c r="D711" s="60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2.0" customHeight="1">
      <c r="A712" s="9"/>
      <c r="B712" s="9"/>
      <c r="C712" s="9"/>
      <c r="D712" s="60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2.0" customHeight="1">
      <c r="A713" s="9"/>
      <c r="B713" s="9"/>
      <c r="C713" s="9"/>
      <c r="D713" s="60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2.0" customHeight="1">
      <c r="A714" s="9"/>
      <c r="B714" s="9"/>
      <c r="C714" s="9"/>
      <c r="D714" s="60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2.0" customHeight="1">
      <c r="A715" s="9"/>
      <c r="B715" s="9"/>
      <c r="C715" s="9"/>
      <c r="D715" s="60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2.0" customHeight="1">
      <c r="A716" s="9"/>
      <c r="B716" s="9"/>
      <c r="C716" s="9"/>
      <c r="D716" s="60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2.0" customHeight="1">
      <c r="A717" s="9"/>
      <c r="B717" s="9"/>
      <c r="C717" s="9"/>
      <c r="D717" s="60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2.0" customHeight="1">
      <c r="A718" s="9"/>
      <c r="B718" s="9"/>
      <c r="C718" s="9"/>
      <c r="D718" s="60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2.0" customHeight="1">
      <c r="A719" s="9"/>
      <c r="B719" s="9"/>
      <c r="C719" s="9"/>
      <c r="D719" s="60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2.0" customHeight="1">
      <c r="A720" s="9"/>
      <c r="B720" s="9"/>
      <c r="C720" s="9"/>
      <c r="D720" s="60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2.0" customHeight="1">
      <c r="A721" s="9"/>
      <c r="B721" s="9"/>
      <c r="C721" s="9"/>
      <c r="D721" s="60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2.0" customHeight="1">
      <c r="A722" s="9"/>
      <c r="B722" s="9"/>
      <c r="C722" s="9"/>
      <c r="D722" s="60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2.0" customHeight="1">
      <c r="A723" s="9"/>
      <c r="B723" s="9"/>
      <c r="C723" s="9"/>
      <c r="D723" s="60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2.0" customHeight="1">
      <c r="A724" s="9"/>
      <c r="B724" s="9"/>
      <c r="C724" s="9"/>
      <c r="D724" s="60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2.0" customHeight="1">
      <c r="A725" s="9"/>
      <c r="B725" s="9"/>
      <c r="C725" s="9"/>
      <c r="D725" s="60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2.0" customHeight="1">
      <c r="A726" s="9"/>
      <c r="B726" s="9"/>
      <c r="C726" s="9"/>
      <c r="D726" s="60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2.0" customHeight="1">
      <c r="A727" s="9"/>
      <c r="B727" s="9"/>
      <c r="C727" s="9"/>
      <c r="D727" s="60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2.0" customHeight="1">
      <c r="A728" s="9"/>
      <c r="B728" s="9"/>
      <c r="C728" s="9"/>
      <c r="D728" s="60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2.0" customHeight="1">
      <c r="A729" s="9"/>
      <c r="B729" s="9"/>
      <c r="C729" s="9"/>
      <c r="D729" s="60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2.0" customHeight="1">
      <c r="A730" s="9"/>
      <c r="B730" s="9"/>
      <c r="C730" s="9"/>
      <c r="D730" s="60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2.0" customHeight="1">
      <c r="A731" s="9"/>
      <c r="B731" s="9"/>
      <c r="C731" s="9"/>
      <c r="D731" s="60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2.0" customHeight="1">
      <c r="A732" s="9"/>
      <c r="B732" s="9"/>
      <c r="C732" s="9"/>
      <c r="D732" s="60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2.0" customHeight="1">
      <c r="A733" s="9"/>
      <c r="B733" s="9"/>
      <c r="C733" s="9"/>
      <c r="D733" s="60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2.0" customHeight="1">
      <c r="A734" s="9"/>
      <c r="B734" s="9"/>
      <c r="C734" s="9"/>
      <c r="D734" s="60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2.0" customHeight="1">
      <c r="A735" s="9"/>
      <c r="B735" s="9"/>
      <c r="C735" s="9"/>
      <c r="D735" s="60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2.0" customHeight="1">
      <c r="A736" s="9"/>
      <c r="B736" s="9"/>
      <c r="C736" s="9"/>
      <c r="D736" s="60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2.0" customHeight="1">
      <c r="A737" s="9"/>
      <c r="B737" s="9"/>
      <c r="C737" s="9"/>
      <c r="D737" s="60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2.0" customHeight="1">
      <c r="A738" s="9"/>
      <c r="B738" s="9"/>
      <c r="C738" s="9"/>
      <c r="D738" s="60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2.0" customHeight="1">
      <c r="A739" s="9"/>
      <c r="B739" s="9"/>
      <c r="C739" s="9"/>
      <c r="D739" s="60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2.0" customHeight="1">
      <c r="A740" s="9"/>
      <c r="B740" s="9"/>
      <c r="C740" s="9"/>
      <c r="D740" s="60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2.0" customHeight="1">
      <c r="A741" s="9"/>
      <c r="B741" s="9"/>
      <c r="C741" s="9"/>
      <c r="D741" s="60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2.0" customHeight="1">
      <c r="A742" s="9"/>
      <c r="B742" s="9"/>
      <c r="C742" s="9"/>
      <c r="D742" s="60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2.0" customHeight="1">
      <c r="A743" s="9"/>
      <c r="B743" s="9"/>
      <c r="C743" s="9"/>
      <c r="D743" s="60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2.0" customHeight="1">
      <c r="A744" s="9"/>
      <c r="B744" s="9"/>
      <c r="C744" s="9"/>
      <c r="D744" s="60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2.0" customHeight="1">
      <c r="A745" s="9"/>
      <c r="B745" s="9"/>
      <c r="C745" s="9"/>
      <c r="D745" s="60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2.0" customHeight="1">
      <c r="A746" s="9"/>
      <c r="B746" s="9"/>
      <c r="C746" s="9"/>
      <c r="D746" s="60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2.0" customHeight="1">
      <c r="A747" s="9"/>
      <c r="B747" s="9"/>
      <c r="C747" s="9"/>
      <c r="D747" s="60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2.0" customHeight="1">
      <c r="A748" s="9"/>
      <c r="B748" s="9"/>
      <c r="C748" s="9"/>
      <c r="D748" s="60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2.0" customHeight="1">
      <c r="A749" s="9"/>
      <c r="B749" s="9"/>
      <c r="C749" s="9"/>
      <c r="D749" s="60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2.0" customHeight="1">
      <c r="A750" s="9"/>
      <c r="B750" s="9"/>
      <c r="C750" s="9"/>
      <c r="D750" s="60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2.0" customHeight="1">
      <c r="A751" s="9"/>
      <c r="B751" s="9"/>
      <c r="C751" s="9"/>
      <c r="D751" s="60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2.0" customHeight="1">
      <c r="A752" s="9"/>
      <c r="B752" s="9"/>
      <c r="C752" s="9"/>
      <c r="D752" s="60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2.0" customHeight="1">
      <c r="A753" s="9"/>
      <c r="B753" s="9"/>
      <c r="C753" s="9"/>
      <c r="D753" s="60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2.0" customHeight="1">
      <c r="A754" s="9"/>
      <c r="B754" s="9"/>
      <c r="C754" s="9"/>
      <c r="D754" s="60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2.0" customHeight="1">
      <c r="A755" s="9"/>
      <c r="B755" s="9"/>
      <c r="C755" s="9"/>
      <c r="D755" s="60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2.0" customHeight="1">
      <c r="A756" s="9"/>
      <c r="B756" s="9"/>
      <c r="C756" s="9"/>
      <c r="D756" s="60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2.0" customHeight="1">
      <c r="A757" s="9"/>
      <c r="B757" s="9"/>
      <c r="C757" s="9"/>
      <c r="D757" s="60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2.0" customHeight="1">
      <c r="A758" s="9"/>
      <c r="B758" s="9"/>
      <c r="C758" s="9"/>
      <c r="D758" s="60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2.0" customHeight="1">
      <c r="A759" s="9"/>
      <c r="B759" s="9"/>
      <c r="C759" s="9"/>
      <c r="D759" s="60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2.0" customHeight="1">
      <c r="A760" s="9"/>
      <c r="B760" s="9"/>
      <c r="C760" s="9"/>
      <c r="D760" s="60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2.0" customHeight="1">
      <c r="A761" s="9"/>
      <c r="B761" s="9"/>
      <c r="C761" s="9"/>
      <c r="D761" s="60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2.0" customHeight="1">
      <c r="A762" s="9"/>
      <c r="B762" s="9"/>
      <c r="C762" s="9"/>
      <c r="D762" s="60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2.0" customHeight="1">
      <c r="A763" s="9"/>
      <c r="B763" s="9"/>
      <c r="C763" s="9"/>
      <c r="D763" s="60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2.0" customHeight="1">
      <c r="A764" s="9"/>
      <c r="B764" s="9"/>
      <c r="C764" s="9"/>
      <c r="D764" s="60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2.0" customHeight="1">
      <c r="A765" s="9"/>
      <c r="B765" s="9"/>
      <c r="C765" s="9"/>
      <c r="D765" s="60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2.0" customHeight="1">
      <c r="A766" s="9"/>
      <c r="B766" s="9"/>
      <c r="C766" s="9"/>
      <c r="D766" s="60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2.0" customHeight="1">
      <c r="A767" s="9"/>
      <c r="B767" s="9"/>
      <c r="C767" s="9"/>
      <c r="D767" s="60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2.0" customHeight="1">
      <c r="A768" s="9"/>
      <c r="B768" s="9"/>
      <c r="C768" s="9"/>
      <c r="D768" s="60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2.0" customHeight="1">
      <c r="A769" s="9"/>
      <c r="B769" s="9"/>
      <c r="C769" s="9"/>
      <c r="D769" s="60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2.0" customHeight="1">
      <c r="A770" s="9"/>
      <c r="B770" s="9"/>
      <c r="C770" s="9"/>
      <c r="D770" s="60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2.0" customHeight="1">
      <c r="A771" s="9"/>
      <c r="B771" s="9"/>
      <c r="C771" s="9"/>
      <c r="D771" s="60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2.0" customHeight="1">
      <c r="A772" s="9"/>
      <c r="B772" s="9"/>
      <c r="C772" s="9"/>
      <c r="D772" s="60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2.0" customHeight="1">
      <c r="A773" s="9"/>
      <c r="B773" s="9"/>
      <c r="C773" s="9"/>
      <c r="D773" s="60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2.0" customHeight="1">
      <c r="A774" s="9"/>
      <c r="B774" s="9"/>
      <c r="C774" s="9"/>
      <c r="D774" s="60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2.0" customHeight="1">
      <c r="A775" s="9"/>
      <c r="B775" s="9"/>
      <c r="C775" s="9"/>
      <c r="D775" s="60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2.0" customHeight="1">
      <c r="A776" s="9"/>
      <c r="B776" s="9"/>
      <c r="C776" s="9"/>
      <c r="D776" s="60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2.0" customHeight="1">
      <c r="A777" s="9"/>
      <c r="B777" s="9"/>
      <c r="C777" s="9"/>
      <c r="D777" s="60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2.0" customHeight="1">
      <c r="A778" s="9"/>
      <c r="B778" s="9"/>
      <c r="C778" s="9"/>
      <c r="D778" s="60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2.0" customHeight="1">
      <c r="A779" s="9"/>
      <c r="B779" s="9"/>
      <c r="C779" s="9"/>
      <c r="D779" s="60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2.0" customHeight="1">
      <c r="A780" s="9"/>
      <c r="B780" s="9"/>
      <c r="C780" s="9"/>
      <c r="D780" s="60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2.0" customHeight="1">
      <c r="A781" s="9"/>
      <c r="B781" s="9"/>
      <c r="C781" s="9"/>
      <c r="D781" s="60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2.0" customHeight="1">
      <c r="A782" s="9"/>
      <c r="B782" s="9"/>
      <c r="C782" s="9"/>
      <c r="D782" s="60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2.0" customHeight="1">
      <c r="A783" s="9"/>
      <c r="B783" s="9"/>
      <c r="C783" s="9"/>
      <c r="D783" s="60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2.0" customHeight="1">
      <c r="A784" s="9"/>
      <c r="B784" s="9"/>
      <c r="C784" s="9"/>
      <c r="D784" s="60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2.0" customHeight="1">
      <c r="A785" s="9"/>
      <c r="B785" s="9"/>
      <c r="C785" s="9"/>
      <c r="D785" s="60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2.0" customHeight="1">
      <c r="A786" s="9"/>
      <c r="B786" s="9"/>
      <c r="C786" s="9"/>
      <c r="D786" s="60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2.0" customHeight="1">
      <c r="A787" s="9"/>
      <c r="B787" s="9"/>
      <c r="C787" s="9"/>
      <c r="D787" s="60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2.0" customHeight="1">
      <c r="A788" s="9"/>
      <c r="B788" s="9"/>
      <c r="C788" s="9"/>
      <c r="D788" s="60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2.0" customHeight="1">
      <c r="A789" s="9"/>
      <c r="B789" s="9"/>
      <c r="C789" s="9"/>
      <c r="D789" s="60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2.0" customHeight="1">
      <c r="A790" s="9"/>
      <c r="B790" s="9"/>
      <c r="C790" s="9"/>
      <c r="D790" s="60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2.0" customHeight="1">
      <c r="A791" s="9"/>
      <c r="B791" s="9"/>
      <c r="C791" s="9"/>
      <c r="D791" s="60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2.0" customHeight="1">
      <c r="A792" s="9"/>
      <c r="B792" s="9"/>
      <c r="C792" s="9"/>
      <c r="D792" s="60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2.0" customHeight="1">
      <c r="A793" s="9"/>
      <c r="B793" s="9"/>
      <c r="C793" s="9"/>
      <c r="D793" s="60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2.0" customHeight="1">
      <c r="A794" s="9"/>
      <c r="B794" s="9"/>
      <c r="C794" s="9"/>
      <c r="D794" s="60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2.0" customHeight="1">
      <c r="A795" s="9"/>
      <c r="B795" s="9"/>
      <c r="C795" s="9"/>
      <c r="D795" s="60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2.0" customHeight="1">
      <c r="A796" s="9"/>
      <c r="B796" s="9"/>
      <c r="C796" s="9"/>
      <c r="D796" s="60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2.0" customHeight="1">
      <c r="A797" s="9"/>
      <c r="B797" s="9"/>
      <c r="C797" s="9"/>
      <c r="D797" s="60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2.0" customHeight="1">
      <c r="A798" s="9"/>
      <c r="B798" s="9"/>
      <c r="C798" s="9"/>
      <c r="D798" s="60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2.0" customHeight="1">
      <c r="A799" s="9"/>
      <c r="B799" s="9"/>
      <c r="C799" s="9"/>
      <c r="D799" s="60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2.0" customHeight="1">
      <c r="A800" s="9"/>
      <c r="B800" s="9"/>
      <c r="C800" s="9"/>
      <c r="D800" s="60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2.0" customHeight="1">
      <c r="A801" s="9"/>
      <c r="B801" s="9"/>
      <c r="C801" s="9"/>
      <c r="D801" s="60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2.0" customHeight="1">
      <c r="A802" s="9"/>
      <c r="B802" s="9"/>
      <c r="C802" s="9"/>
      <c r="D802" s="60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2.0" customHeight="1">
      <c r="A803" s="9"/>
      <c r="B803" s="9"/>
      <c r="C803" s="9"/>
      <c r="D803" s="60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2.0" customHeight="1">
      <c r="A804" s="9"/>
      <c r="B804" s="9"/>
      <c r="C804" s="9"/>
      <c r="D804" s="60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2.0" customHeight="1">
      <c r="A805" s="9"/>
      <c r="B805" s="9"/>
      <c r="C805" s="9"/>
      <c r="D805" s="60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2.0" customHeight="1">
      <c r="A806" s="9"/>
      <c r="B806" s="9"/>
      <c r="C806" s="9"/>
      <c r="D806" s="60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2.0" customHeight="1">
      <c r="A807" s="9"/>
      <c r="B807" s="9"/>
      <c r="C807" s="9"/>
      <c r="D807" s="60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2.0" customHeight="1">
      <c r="A808" s="9"/>
      <c r="B808" s="9"/>
      <c r="C808" s="9"/>
      <c r="D808" s="60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2.0" customHeight="1">
      <c r="A809" s="9"/>
      <c r="B809" s="9"/>
      <c r="C809" s="9"/>
      <c r="D809" s="60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2.0" customHeight="1">
      <c r="A810" s="9"/>
      <c r="B810" s="9"/>
      <c r="C810" s="9"/>
      <c r="D810" s="60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2.0" customHeight="1">
      <c r="A811" s="9"/>
      <c r="B811" s="9"/>
      <c r="C811" s="9"/>
      <c r="D811" s="60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2.0" customHeight="1">
      <c r="A812" s="9"/>
      <c r="B812" s="9"/>
      <c r="C812" s="9"/>
      <c r="D812" s="60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2.0" customHeight="1">
      <c r="A813" s="9"/>
      <c r="B813" s="9"/>
      <c r="C813" s="9"/>
      <c r="D813" s="60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2.0" customHeight="1">
      <c r="A814" s="9"/>
      <c r="B814" s="9"/>
      <c r="C814" s="9"/>
      <c r="D814" s="60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2.0" customHeight="1">
      <c r="A815" s="9"/>
      <c r="B815" s="9"/>
      <c r="C815" s="9"/>
      <c r="D815" s="60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2.0" customHeight="1">
      <c r="A816" s="9"/>
      <c r="B816" s="9"/>
      <c r="C816" s="9"/>
      <c r="D816" s="60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2.0" customHeight="1">
      <c r="A817" s="9"/>
      <c r="B817" s="9"/>
      <c r="C817" s="9"/>
      <c r="D817" s="60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2.0" customHeight="1">
      <c r="A818" s="9"/>
      <c r="B818" s="9"/>
      <c r="C818" s="9"/>
      <c r="D818" s="60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2.0" customHeight="1">
      <c r="A819" s="9"/>
      <c r="B819" s="9"/>
      <c r="C819" s="9"/>
      <c r="D819" s="60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2.0" customHeight="1">
      <c r="A820" s="9"/>
      <c r="B820" s="9"/>
      <c r="C820" s="9"/>
      <c r="D820" s="60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2.0" customHeight="1">
      <c r="A821" s="9"/>
      <c r="B821" s="9"/>
      <c r="C821" s="9"/>
      <c r="D821" s="60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2.0" customHeight="1">
      <c r="A822" s="9"/>
      <c r="B822" s="9"/>
      <c r="C822" s="9"/>
      <c r="D822" s="60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2.0" customHeight="1">
      <c r="A823" s="9"/>
      <c r="B823" s="9"/>
      <c r="C823" s="9"/>
      <c r="D823" s="60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2.0" customHeight="1">
      <c r="A824" s="9"/>
      <c r="B824" s="9"/>
      <c r="C824" s="9"/>
      <c r="D824" s="60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2.0" customHeight="1">
      <c r="A825" s="9"/>
      <c r="B825" s="9"/>
      <c r="C825" s="9"/>
      <c r="D825" s="60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2.0" customHeight="1">
      <c r="A826" s="9"/>
      <c r="B826" s="9"/>
      <c r="C826" s="9"/>
      <c r="D826" s="60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2.0" customHeight="1">
      <c r="A827" s="9"/>
      <c r="B827" s="9"/>
      <c r="C827" s="9"/>
      <c r="D827" s="60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2.0" customHeight="1">
      <c r="A828" s="9"/>
      <c r="B828" s="9"/>
      <c r="C828" s="9"/>
      <c r="D828" s="60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2.0" customHeight="1">
      <c r="A829" s="9"/>
      <c r="B829" s="9"/>
      <c r="C829" s="9"/>
      <c r="D829" s="60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2.0" customHeight="1">
      <c r="A830" s="9"/>
      <c r="B830" s="9"/>
      <c r="C830" s="9"/>
      <c r="D830" s="60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2.0" customHeight="1">
      <c r="A831" s="9"/>
      <c r="B831" s="9"/>
      <c r="C831" s="9"/>
      <c r="D831" s="60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2.0" customHeight="1">
      <c r="A832" s="9"/>
      <c r="B832" s="9"/>
      <c r="C832" s="9"/>
      <c r="D832" s="60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2.0" customHeight="1">
      <c r="A833" s="9"/>
      <c r="B833" s="9"/>
      <c r="C833" s="9"/>
      <c r="D833" s="60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2.0" customHeight="1">
      <c r="A834" s="9"/>
      <c r="B834" s="9"/>
      <c r="C834" s="9"/>
      <c r="D834" s="60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2.0" customHeight="1">
      <c r="A835" s="9"/>
      <c r="B835" s="9"/>
      <c r="C835" s="9"/>
      <c r="D835" s="60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2.0" customHeight="1">
      <c r="A836" s="9"/>
      <c r="B836" s="9"/>
      <c r="C836" s="9"/>
      <c r="D836" s="60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2.0" customHeight="1">
      <c r="A837" s="9"/>
      <c r="B837" s="9"/>
      <c r="C837" s="9"/>
      <c r="D837" s="60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2.0" customHeight="1">
      <c r="A838" s="9"/>
      <c r="B838" s="9"/>
      <c r="C838" s="9"/>
      <c r="D838" s="60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2.0" customHeight="1">
      <c r="A839" s="9"/>
      <c r="B839" s="9"/>
      <c r="C839" s="9"/>
      <c r="D839" s="60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2.0" customHeight="1">
      <c r="A840" s="9"/>
      <c r="B840" s="9"/>
      <c r="C840" s="9"/>
      <c r="D840" s="60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2.0" customHeight="1">
      <c r="A841" s="9"/>
      <c r="B841" s="9"/>
      <c r="C841" s="9"/>
      <c r="D841" s="60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2.0" customHeight="1">
      <c r="A842" s="9"/>
      <c r="B842" s="9"/>
      <c r="C842" s="9"/>
      <c r="D842" s="60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2.0" customHeight="1">
      <c r="A843" s="9"/>
      <c r="B843" s="9"/>
      <c r="C843" s="9"/>
      <c r="D843" s="60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2.0" customHeight="1">
      <c r="A844" s="9"/>
      <c r="B844" s="9"/>
      <c r="C844" s="9"/>
      <c r="D844" s="60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2.0" customHeight="1">
      <c r="A845" s="9"/>
      <c r="B845" s="9"/>
      <c r="C845" s="9"/>
      <c r="D845" s="60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2.0" customHeight="1">
      <c r="A846" s="9"/>
      <c r="B846" s="9"/>
      <c r="C846" s="9"/>
      <c r="D846" s="60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2.0" customHeight="1">
      <c r="A847" s="9"/>
      <c r="B847" s="9"/>
      <c r="C847" s="9"/>
      <c r="D847" s="60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2.0" customHeight="1">
      <c r="A848" s="9"/>
      <c r="B848" s="9"/>
      <c r="C848" s="9"/>
      <c r="D848" s="60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2.0" customHeight="1">
      <c r="A849" s="9"/>
      <c r="B849" s="9"/>
      <c r="C849" s="9"/>
      <c r="D849" s="60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2.0" customHeight="1">
      <c r="A850" s="9"/>
      <c r="B850" s="9"/>
      <c r="C850" s="9"/>
      <c r="D850" s="60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2.0" customHeight="1">
      <c r="A851" s="9"/>
      <c r="B851" s="9"/>
      <c r="C851" s="9"/>
      <c r="D851" s="60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2.0" customHeight="1">
      <c r="A852" s="9"/>
      <c r="B852" s="9"/>
      <c r="C852" s="9"/>
      <c r="D852" s="60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2.0" customHeight="1">
      <c r="A853" s="9"/>
      <c r="B853" s="9"/>
      <c r="C853" s="9"/>
      <c r="D853" s="60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2.0" customHeight="1">
      <c r="A854" s="9"/>
      <c r="B854" s="9"/>
      <c r="C854" s="9"/>
      <c r="D854" s="60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2.0" customHeight="1">
      <c r="A855" s="9"/>
      <c r="B855" s="9"/>
      <c r="C855" s="9"/>
      <c r="D855" s="60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2.0" customHeight="1">
      <c r="A856" s="9"/>
      <c r="B856" s="9"/>
      <c r="C856" s="9"/>
      <c r="D856" s="60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2.0" customHeight="1">
      <c r="A857" s="9"/>
      <c r="B857" s="9"/>
      <c r="C857" s="9"/>
      <c r="D857" s="60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2.0" customHeight="1">
      <c r="A858" s="9"/>
      <c r="B858" s="9"/>
      <c r="C858" s="9"/>
      <c r="D858" s="60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2.0" customHeight="1">
      <c r="A859" s="9"/>
      <c r="B859" s="9"/>
      <c r="C859" s="9"/>
      <c r="D859" s="60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2.0" customHeight="1">
      <c r="A860" s="9"/>
      <c r="B860" s="9"/>
      <c r="C860" s="9"/>
      <c r="D860" s="60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2.0" customHeight="1">
      <c r="A861" s="9"/>
      <c r="B861" s="9"/>
      <c r="C861" s="9"/>
      <c r="D861" s="60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2.0" customHeight="1">
      <c r="A862" s="9"/>
      <c r="B862" s="9"/>
      <c r="C862" s="9"/>
      <c r="D862" s="60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2.0" customHeight="1">
      <c r="A863" s="9"/>
      <c r="B863" s="9"/>
      <c r="C863" s="9"/>
      <c r="D863" s="60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2.0" customHeight="1">
      <c r="A864" s="9"/>
      <c r="B864" s="9"/>
      <c r="C864" s="9"/>
      <c r="D864" s="60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2.0" customHeight="1">
      <c r="A865" s="9"/>
      <c r="B865" s="9"/>
      <c r="C865" s="9"/>
      <c r="D865" s="60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2.0" customHeight="1">
      <c r="A866" s="9"/>
      <c r="B866" s="9"/>
      <c r="C866" s="9"/>
      <c r="D866" s="60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2.0" customHeight="1">
      <c r="A867" s="9"/>
      <c r="B867" s="9"/>
      <c r="C867" s="9"/>
      <c r="D867" s="60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2.0" customHeight="1">
      <c r="A868" s="9"/>
      <c r="B868" s="9"/>
      <c r="C868" s="9"/>
      <c r="D868" s="60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2.0" customHeight="1">
      <c r="A869" s="9"/>
      <c r="B869" s="9"/>
      <c r="C869" s="9"/>
      <c r="D869" s="60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2.0" customHeight="1">
      <c r="A870" s="9"/>
      <c r="B870" s="9"/>
      <c r="C870" s="9"/>
      <c r="D870" s="60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2.0" customHeight="1">
      <c r="A871" s="9"/>
      <c r="B871" s="9"/>
      <c r="C871" s="9"/>
      <c r="D871" s="60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2.0" customHeight="1">
      <c r="A872" s="9"/>
      <c r="B872" s="9"/>
      <c r="C872" s="9"/>
      <c r="D872" s="60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2.0" customHeight="1">
      <c r="A873" s="9"/>
      <c r="B873" s="9"/>
      <c r="C873" s="9"/>
      <c r="D873" s="60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2.0" customHeight="1">
      <c r="A874" s="9"/>
      <c r="B874" s="9"/>
      <c r="C874" s="9"/>
      <c r="D874" s="60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2.0" customHeight="1">
      <c r="A875" s="9"/>
      <c r="B875" s="9"/>
      <c r="C875" s="9"/>
      <c r="D875" s="60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2.0" customHeight="1">
      <c r="A876" s="9"/>
      <c r="B876" s="9"/>
      <c r="C876" s="9"/>
      <c r="D876" s="60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2.0" customHeight="1">
      <c r="A877" s="9"/>
      <c r="B877" s="9"/>
      <c r="C877" s="9"/>
      <c r="D877" s="60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2.0" customHeight="1">
      <c r="A878" s="9"/>
      <c r="B878" s="9"/>
      <c r="C878" s="9"/>
      <c r="D878" s="60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2.0" customHeight="1">
      <c r="A879" s="9"/>
      <c r="B879" s="9"/>
      <c r="C879" s="9"/>
      <c r="D879" s="60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2.0" customHeight="1">
      <c r="A880" s="9"/>
      <c r="B880" s="9"/>
      <c r="C880" s="9"/>
      <c r="D880" s="60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2.0" customHeight="1">
      <c r="A881" s="9"/>
      <c r="B881" s="9"/>
      <c r="C881" s="9"/>
      <c r="D881" s="60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2.0" customHeight="1">
      <c r="A882" s="9"/>
      <c r="B882" s="9"/>
      <c r="C882" s="9"/>
      <c r="D882" s="60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2.0" customHeight="1">
      <c r="A883" s="9"/>
      <c r="B883" s="9"/>
      <c r="C883" s="9"/>
      <c r="D883" s="60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2.0" customHeight="1">
      <c r="A884" s="9"/>
      <c r="B884" s="9"/>
      <c r="C884" s="9"/>
      <c r="D884" s="60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2.0" customHeight="1">
      <c r="A885" s="9"/>
      <c r="B885" s="9"/>
      <c r="C885" s="9"/>
      <c r="D885" s="60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2.0" customHeight="1">
      <c r="A886" s="9"/>
      <c r="B886" s="9"/>
      <c r="C886" s="9"/>
      <c r="D886" s="60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2.0" customHeight="1">
      <c r="A887" s="9"/>
      <c r="B887" s="9"/>
      <c r="C887" s="9"/>
      <c r="D887" s="60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2.0" customHeight="1">
      <c r="A888" s="9"/>
      <c r="B888" s="9"/>
      <c r="C888" s="9"/>
      <c r="D888" s="60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2.0" customHeight="1">
      <c r="A889" s="9"/>
      <c r="B889" s="9"/>
      <c r="C889" s="9"/>
      <c r="D889" s="60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2.0" customHeight="1">
      <c r="A890" s="9"/>
      <c r="B890" s="9"/>
      <c r="C890" s="9"/>
      <c r="D890" s="60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2.0" customHeight="1">
      <c r="A891" s="9"/>
      <c r="B891" s="9"/>
      <c r="C891" s="9"/>
      <c r="D891" s="60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2.0" customHeight="1">
      <c r="A892" s="9"/>
      <c r="B892" s="9"/>
      <c r="C892" s="9"/>
      <c r="D892" s="60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2.0" customHeight="1">
      <c r="A893" s="9"/>
      <c r="B893" s="9"/>
      <c r="C893" s="9"/>
      <c r="D893" s="60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2.0" customHeight="1">
      <c r="A894" s="9"/>
      <c r="B894" s="9"/>
      <c r="C894" s="9"/>
      <c r="D894" s="60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2.0" customHeight="1">
      <c r="A895" s="9"/>
      <c r="B895" s="9"/>
      <c r="C895" s="9"/>
      <c r="D895" s="60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2.0" customHeight="1">
      <c r="A896" s="9"/>
      <c r="B896" s="9"/>
      <c r="C896" s="9"/>
      <c r="D896" s="60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2.0" customHeight="1">
      <c r="A897" s="9"/>
      <c r="B897" s="9"/>
      <c r="C897" s="9"/>
      <c r="D897" s="60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2.0" customHeight="1">
      <c r="A898" s="9"/>
      <c r="B898" s="9"/>
      <c r="C898" s="9"/>
      <c r="D898" s="60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2.0" customHeight="1">
      <c r="A899" s="9"/>
      <c r="B899" s="9"/>
      <c r="C899" s="9"/>
      <c r="D899" s="60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2.0" customHeight="1">
      <c r="A900" s="9"/>
      <c r="B900" s="9"/>
      <c r="C900" s="9"/>
      <c r="D900" s="60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2.0" customHeight="1">
      <c r="A901" s="9"/>
      <c r="B901" s="9"/>
      <c r="C901" s="9"/>
      <c r="D901" s="60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2.0" customHeight="1">
      <c r="A902" s="9"/>
      <c r="B902" s="9"/>
      <c r="C902" s="9"/>
      <c r="D902" s="60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2.0" customHeight="1">
      <c r="A903" s="9"/>
      <c r="B903" s="9"/>
      <c r="C903" s="9"/>
      <c r="D903" s="60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2.0" customHeight="1">
      <c r="A904" s="9"/>
      <c r="B904" s="9"/>
      <c r="C904" s="9"/>
      <c r="D904" s="60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2.0" customHeight="1">
      <c r="A905" s="9"/>
      <c r="B905" s="9"/>
      <c r="C905" s="9"/>
      <c r="D905" s="60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2.0" customHeight="1">
      <c r="A906" s="9"/>
      <c r="B906" s="9"/>
      <c r="C906" s="9"/>
      <c r="D906" s="60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2.0" customHeight="1">
      <c r="A907" s="9"/>
      <c r="B907" s="9"/>
      <c r="C907" s="9"/>
      <c r="D907" s="60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2.0" customHeight="1">
      <c r="A908" s="9"/>
      <c r="B908" s="9"/>
      <c r="C908" s="9"/>
      <c r="D908" s="60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2.0" customHeight="1">
      <c r="A909" s="9"/>
      <c r="B909" s="9"/>
      <c r="C909" s="9"/>
      <c r="D909" s="60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2.0" customHeight="1">
      <c r="A910" s="9"/>
      <c r="B910" s="9"/>
      <c r="C910" s="9"/>
      <c r="D910" s="60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2.0" customHeight="1">
      <c r="A911" s="9"/>
      <c r="B911" s="9"/>
      <c r="C911" s="9"/>
      <c r="D911" s="60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2.0" customHeight="1">
      <c r="A912" s="9"/>
      <c r="B912" s="9"/>
      <c r="C912" s="9"/>
      <c r="D912" s="60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2.0" customHeight="1">
      <c r="A913" s="9"/>
      <c r="B913" s="9"/>
      <c r="C913" s="9"/>
      <c r="D913" s="60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2.0" customHeight="1">
      <c r="A914" s="9"/>
      <c r="B914" s="9"/>
      <c r="C914" s="9"/>
      <c r="D914" s="60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2.0" customHeight="1">
      <c r="A915" s="9"/>
      <c r="B915" s="9"/>
      <c r="C915" s="9"/>
      <c r="D915" s="60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2.0" customHeight="1">
      <c r="A916" s="9"/>
      <c r="B916" s="9"/>
      <c r="C916" s="9"/>
      <c r="D916" s="60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2.0" customHeight="1">
      <c r="A917" s="9"/>
      <c r="B917" s="9"/>
      <c r="C917" s="9"/>
      <c r="D917" s="60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2.0" customHeight="1">
      <c r="A918" s="9"/>
      <c r="B918" s="9"/>
      <c r="C918" s="9"/>
      <c r="D918" s="60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2.0" customHeight="1">
      <c r="A919" s="9"/>
      <c r="B919" s="9"/>
      <c r="C919" s="9"/>
      <c r="D919" s="60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2.0" customHeight="1">
      <c r="A920" s="9"/>
      <c r="B920" s="9"/>
      <c r="C920" s="9"/>
      <c r="D920" s="60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2.0" customHeight="1">
      <c r="A921" s="9"/>
      <c r="B921" s="9"/>
      <c r="C921" s="9"/>
      <c r="D921" s="60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2.0" customHeight="1">
      <c r="A922" s="9"/>
      <c r="B922" s="9"/>
      <c r="C922" s="9"/>
      <c r="D922" s="60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2.0" customHeight="1">
      <c r="A923" s="9"/>
      <c r="B923" s="9"/>
      <c r="C923" s="9"/>
      <c r="D923" s="60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2.0" customHeight="1">
      <c r="A924" s="9"/>
      <c r="B924" s="9"/>
      <c r="C924" s="9"/>
      <c r="D924" s="60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2.0" customHeight="1">
      <c r="A925" s="9"/>
      <c r="B925" s="9"/>
      <c r="C925" s="9"/>
      <c r="D925" s="60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2.0" customHeight="1">
      <c r="A926" s="9"/>
      <c r="B926" s="9"/>
      <c r="C926" s="9"/>
      <c r="D926" s="60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2.0" customHeight="1">
      <c r="A927" s="9"/>
      <c r="B927" s="9"/>
      <c r="C927" s="9"/>
      <c r="D927" s="60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2.0" customHeight="1">
      <c r="A928" s="9"/>
      <c r="B928" s="9"/>
      <c r="C928" s="9"/>
      <c r="D928" s="60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2.0" customHeight="1">
      <c r="A929" s="9"/>
      <c r="B929" s="9"/>
      <c r="C929" s="9"/>
      <c r="D929" s="60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2.0" customHeight="1">
      <c r="A930" s="9"/>
      <c r="B930" s="9"/>
      <c r="C930" s="9"/>
      <c r="D930" s="60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2.0" customHeight="1">
      <c r="A931" s="9"/>
      <c r="B931" s="9"/>
      <c r="C931" s="9"/>
      <c r="D931" s="60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2.0" customHeight="1">
      <c r="A932" s="9"/>
      <c r="B932" s="9"/>
      <c r="C932" s="9"/>
      <c r="D932" s="60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2.0" customHeight="1">
      <c r="A933" s="9"/>
      <c r="B933" s="9"/>
      <c r="C933" s="9"/>
      <c r="D933" s="60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2.0" customHeight="1">
      <c r="A934" s="9"/>
      <c r="B934" s="9"/>
      <c r="C934" s="9"/>
      <c r="D934" s="60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2.0" customHeight="1">
      <c r="A935" s="9"/>
      <c r="B935" s="9"/>
      <c r="C935" s="9"/>
      <c r="D935" s="60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2.0" customHeight="1">
      <c r="A936" s="9"/>
      <c r="B936" s="9"/>
      <c r="C936" s="9"/>
      <c r="D936" s="60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2.0" customHeight="1">
      <c r="A937" s="9"/>
      <c r="B937" s="9"/>
      <c r="C937" s="9"/>
      <c r="D937" s="60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2.0" customHeight="1">
      <c r="A938" s="9"/>
      <c r="B938" s="9"/>
      <c r="C938" s="9"/>
      <c r="D938" s="60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2.0" customHeight="1">
      <c r="A939" s="9"/>
      <c r="B939" s="9"/>
      <c r="C939" s="9"/>
      <c r="D939" s="60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2.0" customHeight="1">
      <c r="A940" s="9"/>
      <c r="B940" s="9"/>
      <c r="C940" s="9"/>
      <c r="D940" s="60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2.0" customHeight="1">
      <c r="A941" s="9"/>
      <c r="B941" s="9"/>
      <c r="C941" s="9"/>
      <c r="D941" s="60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2.0" customHeight="1">
      <c r="A942" s="9"/>
      <c r="B942" s="9"/>
      <c r="C942" s="9"/>
      <c r="D942" s="60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2.0" customHeight="1">
      <c r="A943" s="9"/>
      <c r="B943" s="9"/>
      <c r="C943" s="9"/>
      <c r="D943" s="60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2.0" customHeight="1">
      <c r="A944" s="9"/>
      <c r="B944" s="9"/>
      <c r="C944" s="9"/>
      <c r="D944" s="60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2.0" customHeight="1">
      <c r="A945" s="9"/>
      <c r="B945" s="9"/>
      <c r="C945" s="9"/>
      <c r="D945" s="60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2.0" customHeight="1">
      <c r="A946" s="9"/>
      <c r="B946" s="9"/>
      <c r="C946" s="9"/>
      <c r="D946" s="60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2.0" customHeight="1">
      <c r="A947" s="9"/>
      <c r="B947" s="9"/>
      <c r="C947" s="9"/>
      <c r="D947" s="60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2.0" customHeight="1">
      <c r="A948" s="9"/>
      <c r="B948" s="9"/>
      <c r="C948" s="9"/>
      <c r="D948" s="60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2.0" customHeight="1">
      <c r="A949" s="9"/>
      <c r="B949" s="9"/>
      <c r="C949" s="9"/>
      <c r="D949" s="60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2.0" customHeight="1">
      <c r="A950" s="9"/>
      <c r="B950" s="9"/>
      <c r="C950" s="9"/>
      <c r="D950" s="60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2.0" customHeight="1">
      <c r="A951" s="9"/>
      <c r="B951" s="9"/>
      <c r="C951" s="9"/>
      <c r="D951" s="60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2.0" customHeight="1">
      <c r="A952" s="9"/>
      <c r="B952" s="9"/>
      <c r="C952" s="9"/>
      <c r="D952" s="60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2.0" customHeight="1">
      <c r="A953" s="9"/>
      <c r="B953" s="9"/>
      <c r="C953" s="9"/>
      <c r="D953" s="60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2.0" customHeight="1">
      <c r="A954" s="9"/>
      <c r="B954" s="9"/>
      <c r="C954" s="9"/>
      <c r="D954" s="60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2.0" customHeight="1">
      <c r="A955" s="9"/>
      <c r="B955" s="9"/>
      <c r="C955" s="9"/>
      <c r="D955" s="60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2.0" customHeight="1">
      <c r="A956" s="9"/>
      <c r="B956" s="9"/>
      <c r="C956" s="9"/>
      <c r="D956" s="60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2.0" customHeight="1">
      <c r="A957" s="9"/>
      <c r="B957" s="9"/>
      <c r="C957" s="9"/>
      <c r="D957" s="60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2.0" customHeight="1">
      <c r="A958" s="9"/>
      <c r="B958" s="9"/>
      <c r="C958" s="9"/>
      <c r="D958" s="60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2.0" customHeight="1">
      <c r="A959" s="9"/>
      <c r="B959" s="9"/>
      <c r="C959" s="9"/>
      <c r="D959" s="60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2.0" customHeight="1">
      <c r="A960" s="9"/>
      <c r="B960" s="9"/>
      <c r="C960" s="9"/>
      <c r="D960" s="60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2.0" customHeight="1">
      <c r="A961" s="9"/>
      <c r="B961" s="9"/>
      <c r="C961" s="9"/>
      <c r="D961" s="60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2.0" customHeight="1">
      <c r="A962" s="9"/>
      <c r="B962" s="9"/>
      <c r="C962" s="9"/>
      <c r="D962" s="60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2.0" customHeight="1">
      <c r="A963" s="9"/>
      <c r="B963" s="9"/>
      <c r="C963" s="9"/>
      <c r="D963" s="60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2.0" customHeight="1">
      <c r="A964" s="9"/>
      <c r="B964" s="9"/>
      <c r="C964" s="9"/>
      <c r="D964" s="60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2.0" customHeight="1">
      <c r="A965" s="9"/>
      <c r="B965" s="9"/>
      <c r="C965" s="9"/>
      <c r="D965" s="60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2.0" customHeight="1">
      <c r="A966" s="9"/>
      <c r="B966" s="9"/>
      <c r="C966" s="9"/>
      <c r="D966" s="60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2.0" customHeight="1">
      <c r="A967" s="9"/>
      <c r="B967" s="9"/>
      <c r="C967" s="9"/>
      <c r="D967" s="60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2.0" customHeight="1">
      <c r="A968" s="9"/>
      <c r="B968" s="9"/>
      <c r="C968" s="9"/>
      <c r="D968" s="60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2.0" customHeight="1">
      <c r="A969" s="9"/>
      <c r="B969" s="9"/>
      <c r="C969" s="9"/>
      <c r="D969" s="60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2.0" customHeight="1">
      <c r="A970" s="9"/>
      <c r="B970" s="9"/>
      <c r="C970" s="9"/>
      <c r="D970" s="60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2.0" customHeight="1">
      <c r="A971" s="9"/>
      <c r="B971" s="9"/>
      <c r="C971" s="9"/>
      <c r="D971" s="60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2.0" customHeight="1">
      <c r="A972" s="9"/>
      <c r="B972" s="9"/>
      <c r="C972" s="9"/>
      <c r="D972" s="60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2.0" customHeight="1">
      <c r="A973" s="9"/>
      <c r="B973" s="9"/>
      <c r="C973" s="9"/>
      <c r="D973" s="60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2.0" customHeight="1">
      <c r="A974" s="9"/>
      <c r="B974" s="9"/>
      <c r="C974" s="9"/>
      <c r="D974" s="60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2.0" customHeight="1">
      <c r="A975" s="9"/>
      <c r="B975" s="9"/>
      <c r="C975" s="9"/>
      <c r="D975" s="60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2.0" customHeight="1">
      <c r="A976" s="9"/>
      <c r="B976" s="9"/>
      <c r="C976" s="9"/>
      <c r="D976" s="60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2.0" customHeight="1">
      <c r="A977" s="9"/>
      <c r="B977" s="9"/>
      <c r="C977" s="9"/>
      <c r="D977" s="60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2.0" customHeight="1">
      <c r="A978" s="9"/>
      <c r="B978" s="9"/>
      <c r="C978" s="9"/>
      <c r="D978" s="60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2.0" customHeight="1">
      <c r="A979" s="9"/>
      <c r="B979" s="9"/>
      <c r="C979" s="9"/>
      <c r="D979" s="60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2.0" customHeight="1">
      <c r="A980" s="9"/>
      <c r="B980" s="9"/>
      <c r="C980" s="9"/>
      <c r="D980" s="60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2.0" customHeight="1">
      <c r="A981" s="9"/>
      <c r="B981" s="9"/>
      <c r="C981" s="9"/>
      <c r="D981" s="60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2.0" customHeight="1">
      <c r="A982" s="9"/>
      <c r="B982" s="9"/>
      <c r="C982" s="9"/>
      <c r="D982" s="60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2.0" customHeight="1">
      <c r="A983" s="9"/>
      <c r="B983" s="9"/>
      <c r="C983" s="9"/>
      <c r="D983" s="60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2.0" customHeight="1">
      <c r="A984" s="9"/>
      <c r="B984" s="9"/>
      <c r="C984" s="9"/>
      <c r="D984" s="60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2.0" customHeight="1">
      <c r="A985" s="9"/>
      <c r="B985" s="9"/>
      <c r="C985" s="9"/>
      <c r="D985" s="60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2.0" customHeight="1">
      <c r="A986" s="9"/>
      <c r="B986" s="9"/>
      <c r="C986" s="9"/>
      <c r="D986" s="60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2.0" customHeight="1">
      <c r="A987" s="9"/>
      <c r="B987" s="9"/>
      <c r="C987" s="9"/>
      <c r="D987" s="60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2.0" customHeight="1">
      <c r="A988" s="9"/>
      <c r="B988" s="9"/>
      <c r="C988" s="9"/>
      <c r="D988" s="60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2.0" customHeight="1">
      <c r="A989" s="9"/>
      <c r="B989" s="9"/>
      <c r="C989" s="9"/>
      <c r="D989" s="60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2.0" customHeight="1">
      <c r="A990" s="9"/>
      <c r="B990" s="9"/>
      <c r="C990" s="9"/>
      <c r="D990" s="60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2.0" customHeight="1">
      <c r="A991" s="9"/>
      <c r="B991" s="9"/>
      <c r="C991" s="9"/>
      <c r="D991" s="60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2.0" customHeight="1">
      <c r="A992" s="9"/>
      <c r="B992" s="9"/>
      <c r="C992" s="9"/>
      <c r="D992" s="60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2.0" customHeight="1">
      <c r="A993" s="9"/>
      <c r="B993" s="9"/>
      <c r="C993" s="9"/>
      <c r="D993" s="60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2.0" customHeight="1">
      <c r="A994" s="9"/>
      <c r="B994" s="9"/>
      <c r="C994" s="9"/>
      <c r="D994" s="60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2.0" customHeight="1">
      <c r="A995" s="9"/>
      <c r="B995" s="9"/>
      <c r="C995" s="9"/>
      <c r="D995" s="60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2.0" customHeight="1">
      <c r="A996" s="9"/>
      <c r="B996" s="9"/>
      <c r="C996" s="9"/>
      <c r="D996" s="60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2.0" customHeight="1">
      <c r="A997" s="9"/>
      <c r="B997" s="9"/>
      <c r="C997" s="9"/>
      <c r="D997" s="60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2.0" customHeight="1">
      <c r="A998" s="9"/>
      <c r="B998" s="9"/>
      <c r="C998" s="9"/>
      <c r="D998" s="60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2.0" customHeight="1">
      <c r="A999" s="9"/>
      <c r="B999" s="9"/>
      <c r="C999" s="9"/>
      <c r="D999" s="60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2.0" customHeight="1">
      <c r="A1000" s="9"/>
      <c r="B1000" s="9"/>
      <c r="C1000" s="9"/>
      <c r="D1000" s="60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hyperlinks>
    <hyperlink r:id="rId1" ref="I2"/>
    <hyperlink r:id="rId2" ref="I4"/>
    <hyperlink r:id="rId3" ref="I5"/>
    <hyperlink r:id="rId4" ref="I6"/>
    <hyperlink r:id="rId5" ref="I7"/>
    <hyperlink r:id="rId6" ref="I8"/>
    <hyperlink r:id="rId7" ref="I9"/>
    <hyperlink r:id="rId8" ref="I10"/>
    <hyperlink r:id="rId9" ref="I11"/>
    <hyperlink r:id="rId10" ref="I12"/>
    <hyperlink r:id="rId11" ref="I14"/>
    <hyperlink r:id="rId12" ref="I22"/>
    <hyperlink r:id="rId13" ref="I30"/>
    <hyperlink r:id="rId14" ref="I31"/>
    <hyperlink r:id="rId15" ref="I32"/>
    <hyperlink r:id="rId16" ref="I33"/>
  </hyperlinks>
  <printOptions/>
  <pageMargins bottom="0.75" footer="0.0" header="0.0" left="0.7" right="0.7" top="0.75"/>
  <pageSetup orientation="landscape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25"/>
    <col customWidth="1" min="2" max="2" width="36.38"/>
    <col customWidth="1" min="3" max="3" width="7.13"/>
    <col customWidth="1" min="4" max="5" width="8.75"/>
    <col customWidth="1" min="6" max="6" width="14.25"/>
    <col customWidth="1" min="8" max="8" width="20.13"/>
    <col customWidth="1" min="9" max="9" width="21.38"/>
    <col customWidth="1" min="10" max="10" width="9.5"/>
    <col customWidth="1" min="11" max="11" width="5.25"/>
    <col customWidth="1" min="12" max="12" width="7.38"/>
    <col customWidth="1" min="13" max="13" width="10.88"/>
    <col customWidth="1" min="14" max="14" width="18.5"/>
    <col customWidth="1" min="16" max="16" width="6.5"/>
    <col customWidth="1" min="17" max="17" width="7.38"/>
    <col customWidth="1" min="18" max="18" width="7.0"/>
    <col customWidth="1" min="19" max="19" width="5.75"/>
    <col customWidth="1" min="20" max="20" width="3.5"/>
    <col customWidth="1" min="21" max="21" width="4.25"/>
    <col customWidth="1" min="22" max="22" width="17.38"/>
    <col customWidth="1" min="23" max="23" width="59.25"/>
    <col customWidth="1" min="24" max="24" width="17.38"/>
  </cols>
  <sheetData>
    <row r="1" ht="50.25" customHeight="1">
      <c r="A1" s="1"/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4" t="s">
        <v>7</v>
      </c>
      <c r="H1" s="1" t="s">
        <v>8</v>
      </c>
      <c r="I1" s="5" t="s">
        <v>9</v>
      </c>
      <c r="J1" s="1" t="s">
        <v>10</v>
      </c>
      <c r="K1" s="1" t="s">
        <v>11</v>
      </c>
      <c r="L1" s="1" t="s">
        <v>13</v>
      </c>
      <c r="M1" s="1" t="s">
        <v>14</v>
      </c>
      <c r="N1" s="1" t="s">
        <v>17</v>
      </c>
      <c r="O1" s="1" t="s">
        <v>15</v>
      </c>
      <c r="P1" s="1" t="s">
        <v>16</v>
      </c>
      <c r="Q1" s="7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24</v>
      </c>
      <c r="X1" s="1"/>
      <c r="Y1" s="1"/>
      <c r="Z1" s="1"/>
      <c r="AA1" s="1"/>
      <c r="AB1" s="1"/>
    </row>
    <row r="2" ht="15.75" customHeight="1">
      <c r="A2" s="10" t="s">
        <v>26</v>
      </c>
      <c r="B2" s="10" t="s">
        <v>29</v>
      </c>
      <c r="C2" s="13">
        <v>1108.0</v>
      </c>
      <c r="D2" s="10">
        <v>1.0</v>
      </c>
      <c r="E2" s="10">
        <v>2.0</v>
      </c>
      <c r="F2" s="10">
        <f t="shared" ref="F2:F30" si="1">CEILING(E2/D2,1)</f>
        <v>2</v>
      </c>
      <c r="G2" s="10" t="s">
        <v>31</v>
      </c>
      <c r="H2" s="10" t="s">
        <v>32</v>
      </c>
      <c r="I2" s="20" t="s">
        <v>34</v>
      </c>
      <c r="J2" s="22"/>
      <c r="K2" s="22"/>
      <c r="L2" s="22"/>
      <c r="M2" s="25">
        <f t="shared" ref="M2:M31" si="2">F2*C2</f>
        <v>2216</v>
      </c>
      <c r="N2" s="28">
        <f>M2</f>
        <v>2216</v>
      </c>
      <c r="O2" s="22" t="b">
        <v>0</v>
      </c>
      <c r="P2" s="29"/>
      <c r="Q2" s="31"/>
      <c r="R2" s="29"/>
      <c r="S2" s="29"/>
      <c r="T2" s="29"/>
      <c r="U2" s="29"/>
      <c r="V2" s="33">
        <f>M2</f>
        <v>2216</v>
      </c>
    </row>
    <row r="3" ht="15.75" customHeight="1">
      <c r="A3" s="34" t="s">
        <v>47</v>
      </c>
      <c r="B3" s="10" t="s">
        <v>49</v>
      </c>
      <c r="C3" s="35">
        <v>74.75</v>
      </c>
      <c r="D3" s="10">
        <v>1.0</v>
      </c>
      <c r="E3" s="10">
        <v>2.0</v>
      </c>
      <c r="F3" s="10">
        <f t="shared" si="1"/>
        <v>2</v>
      </c>
      <c r="G3" s="37" t="s">
        <v>52</v>
      </c>
      <c r="H3" s="10" t="s">
        <v>32</v>
      </c>
      <c r="I3" s="20" t="s">
        <v>53</v>
      </c>
      <c r="J3" s="22"/>
      <c r="K3" s="22"/>
      <c r="L3" s="22"/>
      <c r="M3" s="38">
        <f t="shared" si="2"/>
        <v>149.5</v>
      </c>
      <c r="N3" s="28">
        <f t="shared" ref="N3:N31" si="3">N2+M3</f>
        <v>2365.5</v>
      </c>
      <c r="O3" s="22" t="b">
        <v>0</v>
      </c>
      <c r="P3" s="29"/>
      <c r="Q3" s="31"/>
      <c r="R3" s="29"/>
      <c r="S3" s="29"/>
      <c r="T3" s="29"/>
      <c r="U3" s="29"/>
      <c r="V3" s="33">
        <f t="shared" ref="V3:V8" si="4">V2+M3</f>
        <v>2365.5</v>
      </c>
    </row>
    <row r="4" ht="15.75" customHeight="1">
      <c r="A4" s="10" t="s">
        <v>60</v>
      </c>
      <c r="B4" s="10" t="s">
        <v>61</v>
      </c>
      <c r="C4" s="35">
        <v>1.2</v>
      </c>
      <c r="D4" s="10">
        <v>1.0</v>
      </c>
      <c r="E4" s="10">
        <v>1.0</v>
      </c>
      <c r="F4" s="10">
        <f t="shared" si="1"/>
        <v>1</v>
      </c>
      <c r="G4" s="10" t="s">
        <v>64</v>
      </c>
      <c r="H4" s="10" t="s">
        <v>32</v>
      </c>
      <c r="I4" s="20" t="s">
        <v>65</v>
      </c>
      <c r="J4" s="22"/>
      <c r="K4" s="22"/>
      <c r="L4" s="22"/>
      <c r="M4" s="38">
        <f t="shared" si="2"/>
        <v>1.2</v>
      </c>
      <c r="N4" s="28">
        <f t="shared" si="3"/>
        <v>2366.7</v>
      </c>
      <c r="O4" s="22" t="b">
        <v>0</v>
      </c>
      <c r="P4" s="29"/>
      <c r="Q4" s="31"/>
      <c r="R4" s="29"/>
      <c r="S4" s="29"/>
      <c r="T4" s="29"/>
      <c r="U4" s="29"/>
      <c r="V4" s="33">
        <f t="shared" si="4"/>
        <v>2366.7</v>
      </c>
    </row>
    <row r="5" ht="15.75" customHeight="1">
      <c r="A5" s="10" t="s">
        <v>73</v>
      </c>
      <c r="B5" s="10" t="s">
        <v>74</v>
      </c>
      <c r="C5" s="35">
        <v>429.95</v>
      </c>
      <c r="D5" s="10">
        <v>1.0</v>
      </c>
      <c r="E5" s="10">
        <v>1.0</v>
      </c>
      <c r="F5" s="10">
        <f t="shared" si="1"/>
        <v>1</v>
      </c>
      <c r="G5" s="10" t="s">
        <v>75</v>
      </c>
      <c r="H5" s="10" t="s">
        <v>32</v>
      </c>
      <c r="I5" s="20" t="s">
        <v>76</v>
      </c>
      <c r="J5" s="22"/>
      <c r="K5" s="22"/>
      <c r="L5" s="22"/>
      <c r="M5" s="38">
        <f t="shared" si="2"/>
        <v>429.95</v>
      </c>
      <c r="N5" s="28">
        <f t="shared" si="3"/>
        <v>2796.65</v>
      </c>
      <c r="O5" s="22" t="b">
        <v>0</v>
      </c>
      <c r="P5" s="29"/>
      <c r="Q5" s="31"/>
      <c r="R5" s="29"/>
      <c r="S5" s="29"/>
      <c r="T5" s="29"/>
      <c r="U5" s="29"/>
      <c r="V5" s="33">
        <f t="shared" si="4"/>
        <v>2796.65</v>
      </c>
    </row>
    <row r="6" ht="15.75" customHeight="1">
      <c r="A6" s="10" t="s">
        <v>83</v>
      </c>
      <c r="B6" s="10" t="s">
        <v>84</v>
      </c>
      <c r="C6" s="35">
        <v>69.51</v>
      </c>
      <c r="D6" s="10">
        <v>1.0</v>
      </c>
      <c r="E6" s="10">
        <v>1.0</v>
      </c>
      <c r="F6" s="10">
        <f t="shared" si="1"/>
        <v>1</v>
      </c>
      <c r="G6" s="10" t="s">
        <v>86</v>
      </c>
      <c r="H6" s="10" t="s">
        <v>32</v>
      </c>
      <c r="I6" s="20" t="s">
        <v>87</v>
      </c>
      <c r="J6" s="22"/>
      <c r="K6" s="22"/>
      <c r="L6" s="22"/>
      <c r="M6" s="38">
        <f t="shared" si="2"/>
        <v>69.51</v>
      </c>
      <c r="N6" s="28">
        <f t="shared" si="3"/>
        <v>2866.16</v>
      </c>
      <c r="O6" s="22" t="b">
        <v>0</v>
      </c>
      <c r="P6" s="29"/>
      <c r="Q6" s="31"/>
      <c r="R6" s="29"/>
      <c r="S6" s="29"/>
      <c r="T6" s="29"/>
      <c r="U6" s="29"/>
      <c r="V6" s="33">
        <f t="shared" si="4"/>
        <v>2866.16</v>
      </c>
    </row>
    <row r="7" ht="15.75" customHeight="1">
      <c r="A7" s="10" t="s">
        <v>93</v>
      </c>
      <c r="B7" s="10" t="s">
        <v>94</v>
      </c>
      <c r="C7" s="13">
        <v>289.1</v>
      </c>
      <c r="D7" s="10">
        <v>1.0</v>
      </c>
      <c r="E7" s="10">
        <v>1.0</v>
      </c>
      <c r="F7" s="10">
        <f t="shared" si="1"/>
        <v>1</v>
      </c>
      <c r="G7" s="10" t="s">
        <v>97</v>
      </c>
      <c r="H7" s="10" t="s">
        <v>32</v>
      </c>
      <c r="I7" s="20" t="s">
        <v>98</v>
      </c>
      <c r="J7" s="22"/>
      <c r="K7" s="22"/>
      <c r="L7" s="22"/>
      <c r="M7" s="25">
        <f t="shared" si="2"/>
        <v>289.1</v>
      </c>
      <c r="N7" s="28">
        <f t="shared" si="3"/>
        <v>3155.26</v>
      </c>
      <c r="O7" s="22" t="b">
        <v>0</v>
      </c>
      <c r="P7" s="29"/>
      <c r="Q7" s="31"/>
      <c r="R7" s="41"/>
      <c r="S7" s="29"/>
      <c r="T7" s="29"/>
      <c r="U7" s="29"/>
      <c r="V7" s="33">
        <f t="shared" si="4"/>
        <v>3155.26</v>
      </c>
    </row>
    <row r="8" ht="15.75" customHeight="1">
      <c r="A8" s="10" t="s">
        <v>104</v>
      </c>
      <c r="B8" s="10" t="s">
        <v>105</v>
      </c>
      <c r="C8" s="13">
        <v>181.0</v>
      </c>
      <c r="D8" s="10">
        <v>1.0</v>
      </c>
      <c r="E8" s="10">
        <v>1.0</v>
      </c>
      <c r="F8" s="10">
        <f t="shared" si="1"/>
        <v>1</v>
      </c>
      <c r="G8" s="10" t="s">
        <v>68</v>
      </c>
      <c r="H8" s="10" t="s">
        <v>32</v>
      </c>
      <c r="I8" s="20" t="s">
        <v>69</v>
      </c>
      <c r="J8" s="22"/>
      <c r="K8" s="22"/>
      <c r="L8" s="22"/>
      <c r="M8" s="25">
        <f t="shared" si="2"/>
        <v>181</v>
      </c>
      <c r="N8" s="28">
        <f t="shared" si="3"/>
        <v>3336.26</v>
      </c>
      <c r="O8" s="22" t="b">
        <v>0</v>
      </c>
      <c r="P8" s="29"/>
      <c r="Q8" s="31"/>
      <c r="R8" s="41"/>
      <c r="S8" s="29"/>
      <c r="T8" s="29"/>
      <c r="U8" s="29"/>
      <c r="V8" s="33">
        <f t="shared" si="4"/>
        <v>3336.26</v>
      </c>
      <c r="W8" s="42" t="s">
        <v>114</v>
      </c>
    </row>
    <row r="9" ht="15.75" customHeight="1">
      <c r="A9" s="43" t="s">
        <v>30</v>
      </c>
      <c r="B9" s="44" t="s">
        <v>115</v>
      </c>
      <c r="C9" s="45">
        <v>226.91</v>
      </c>
      <c r="D9" s="44">
        <v>1.0</v>
      </c>
      <c r="E9" s="44">
        <v>1.0</v>
      </c>
      <c r="F9" s="44">
        <f t="shared" si="1"/>
        <v>1</v>
      </c>
      <c r="G9" s="44" t="s">
        <v>33</v>
      </c>
      <c r="H9" s="44" t="s">
        <v>32</v>
      </c>
      <c r="I9" s="47" t="s">
        <v>36</v>
      </c>
      <c r="J9" s="48"/>
      <c r="K9" s="48"/>
      <c r="L9" s="48"/>
      <c r="M9" s="49">
        <f t="shared" si="2"/>
        <v>226.91</v>
      </c>
      <c r="N9" s="50">
        <f t="shared" si="3"/>
        <v>3563.17</v>
      </c>
      <c r="O9" s="48" t="b">
        <v>0</v>
      </c>
      <c r="P9" s="29"/>
      <c r="Q9" s="31"/>
      <c r="R9" s="41"/>
      <c r="S9" s="29"/>
      <c r="T9" s="29"/>
      <c r="U9" s="29"/>
      <c r="V9" s="36">
        <f>M9</f>
        <v>226.91</v>
      </c>
    </row>
    <row r="10" ht="15.75" customHeight="1">
      <c r="A10" s="44" t="s">
        <v>50</v>
      </c>
      <c r="B10" s="44" t="s">
        <v>51</v>
      </c>
      <c r="C10" s="45">
        <v>226.91</v>
      </c>
      <c r="D10" s="44">
        <v>1.0</v>
      </c>
      <c r="E10" s="44">
        <v>2.0</v>
      </c>
      <c r="F10" s="44">
        <f t="shared" si="1"/>
        <v>2</v>
      </c>
      <c r="G10" s="44" t="s">
        <v>54</v>
      </c>
      <c r="H10" s="44" t="s">
        <v>32</v>
      </c>
      <c r="I10" s="47" t="s">
        <v>55</v>
      </c>
      <c r="J10" s="48"/>
      <c r="K10" s="48"/>
      <c r="L10" s="48"/>
      <c r="M10" s="49">
        <f t="shared" si="2"/>
        <v>453.82</v>
      </c>
      <c r="N10" s="50">
        <f t="shared" si="3"/>
        <v>4016.99</v>
      </c>
      <c r="O10" s="48" t="b">
        <v>0</v>
      </c>
      <c r="P10" s="29"/>
      <c r="Q10" s="31"/>
      <c r="R10" s="29"/>
      <c r="S10" s="29"/>
      <c r="T10" s="29"/>
      <c r="U10" s="29"/>
      <c r="V10" s="36">
        <f t="shared" ref="V10:V29" si="5">V9+M10</f>
        <v>680.73</v>
      </c>
    </row>
    <row r="11" ht="15.75" customHeight="1">
      <c r="A11" s="54" t="s">
        <v>66</v>
      </c>
      <c r="B11" s="44" t="s">
        <v>67</v>
      </c>
      <c r="C11" s="45">
        <v>226.91</v>
      </c>
      <c r="D11" s="44">
        <v>1.0</v>
      </c>
      <c r="E11" s="44">
        <v>5.0</v>
      </c>
      <c r="F11" s="44">
        <f t="shared" si="1"/>
        <v>5</v>
      </c>
      <c r="G11" s="44" t="s">
        <v>68</v>
      </c>
      <c r="H11" s="44" t="s">
        <v>32</v>
      </c>
      <c r="I11" s="47" t="s">
        <v>69</v>
      </c>
      <c r="J11" s="48"/>
      <c r="K11" s="48"/>
      <c r="L11" s="48"/>
      <c r="M11" s="49">
        <f t="shared" si="2"/>
        <v>1134.55</v>
      </c>
      <c r="N11" s="50">
        <f t="shared" si="3"/>
        <v>5151.54</v>
      </c>
      <c r="O11" s="48" t="b">
        <v>0</v>
      </c>
      <c r="P11" s="29"/>
      <c r="Q11" s="31"/>
      <c r="R11" s="41"/>
      <c r="S11" s="29"/>
      <c r="T11" s="29"/>
      <c r="U11" s="29"/>
      <c r="V11" s="36">
        <f t="shared" si="5"/>
        <v>1815.28</v>
      </c>
    </row>
    <row r="12" ht="15.75" customHeight="1">
      <c r="A12" s="44" t="s">
        <v>77</v>
      </c>
      <c r="B12" s="44" t="s">
        <v>78</v>
      </c>
      <c r="C12" s="45">
        <v>26.91</v>
      </c>
      <c r="D12" s="44">
        <v>1.0</v>
      </c>
      <c r="E12" s="44">
        <v>3.0</v>
      </c>
      <c r="F12" s="44">
        <f t="shared" si="1"/>
        <v>3</v>
      </c>
      <c r="G12" s="44" t="s">
        <v>80</v>
      </c>
      <c r="H12" s="44" t="s">
        <v>32</v>
      </c>
      <c r="I12" s="47" t="s">
        <v>81</v>
      </c>
      <c r="J12" s="48"/>
      <c r="K12" s="48"/>
      <c r="L12" s="48"/>
      <c r="M12" s="49">
        <f t="shared" si="2"/>
        <v>80.73</v>
      </c>
      <c r="N12" s="50">
        <f t="shared" si="3"/>
        <v>5232.27</v>
      </c>
      <c r="O12" s="48" t="b">
        <v>0</v>
      </c>
      <c r="P12" s="29"/>
      <c r="Q12" s="31"/>
      <c r="R12" s="29"/>
      <c r="S12" s="29"/>
      <c r="T12" s="29"/>
      <c r="U12" s="29"/>
      <c r="V12" s="36">
        <f t="shared" si="5"/>
        <v>1896.01</v>
      </c>
    </row>
    <row r="13" ht="15.75" customHeight="1">
      <c r="A13" s="44" t="s">
        <v>91</v>
      </c>
      <c r="B13" s="44" t="s">
        <v>92</v>
      </c>
      <c r="C13" s="45">
        <v>507.24</v>
      </c>
      <c r="D13" s="44">
        <v>1.0</v>
      </c>
      <c r="E13" s="44">
        <v>2.0</v>
      </c>
      <c r="F13" s="44">
        <f t="shared" si="1"/>
        <v>2</v>
      </c>
      <c r="G13" s="44" t="s">
        <v>95</v>
      </c>
      <c r="H13" s="44" t="s">
        <v>45</v>
      </c>
      <c r="I13" s="47" t="s">
        <v>169</v>
      </c>
      <c r="J13" s="48"/>
      <c r="K13" s="48"/>
      <c r="L13" s="48"/>
      <c r="M13" s="49">
        <f t="shared" si="2"/>
        <v>1014.48</v>
      </c>
      <c r="N13" s="50">
        <f t="shared" si="3"/>
        <v>6246.75</v>
      </c>
      <c r="O13" s="48" t="b">
        <v>0</v>
      </c>
      <c r="P13" s="29"/>
      <c r="Q13" s="31"/>
      <c r="R13" s="41"/>
      <c r="S13" s="29"/>
      <c r="T13" s="29"/>
      <c r="U13" s="29"/>
      <c r="V13" s="36">
        <f t="shared" si="5"/>
        <v>2910.49</v>
      </c>
    </row>
    <row r="14" ht="15.75" customHeight="1">
      <c r="A14" s="44" t="s">
        <v>106</v>
      </c>
      <c r="B14" s="44" t="s">
        <v>107</v>
      </c>
      <c r="C14" s="45">
        <v>4.11</v>
      </c>
      <c r="D14" s="44">
        <v>1.0</v>
      </c>
      <c r="E14" s="44">
        <v>16.0</v>
      </c>
      <c r="F14" s="44">
        <f t="shared" si="1"/>
        <v>16</v>
      </c>
      <c r="G14" s="44" t="s">
        <v>108</v>
      </c>
      <c r="H14" s="44" t="s">
        <v>109</v>
      </c>
      <c r="I14" s="47" t="s">
        <v>110</v>
      </c>
      <c r="J14" s="48"/>
      <c r="K14" s="48"/>
      <c r="L14" s="48"/>
      <c r="M14" s="49">
        <f t="shared" si="2"/>
        <v>65.76</v>
      </c>
      <c r="N14" s="50">
        <f t="shared" si="3"/>
        <v>6312.51</v>
      </c>
      <c r="O14" s="48" t="b">
        <v>0</v>
      </c>
      <c r="P14" s="29"/>
      <c r="Q14" s="31"/>
      <c r="R14" s="41"/>
      <c r="S14" s="29"/>
      <c r="T14" s="29"/>
      <c r="U14" s="29"/>
      <c r="V14" s="36">
        <f t="shared" si="5"/>
        <v>2976.25</v>
      </c>
    </row>
    <row r="15" ht="15.75" customHeight="1">
      <c r="A15" s="44" t="s">
        <v>117</v>
      </c>
      <c r="B15" s="44" t="s">
        <v>118</v>
      </c>
      <c r="C15" s="45">
        <v>12.86</v>
      </c>
      <c r="D15" s="44">
        <v>5.0</v>
      </c>
      <c r="E15" s="44">
        <v>1.0</v>
      </c>
      <c r="F15" s="44">
        <f t="shared" si="1"/>
        <v>1</v>
      </c>
      <c r="G15" s="61" t="s">
        <v>119</v>
      </c>
      <c r="H15" s="44" t="s">
        <v>121</v>
      </c>
      <c r="I15" s="47" t="s">
        <v>122</v>
      </c>
      <c r="J15" s="48"/>
      <c r="K15" s="48"/>
      <c r="L15" s="48"/>
      <c r="M15" s="49">
        <f t="shared" si="2"/>
        <v>12.86</v>
      </c>
      <c r="N15" s="50">
        <f t="shared" si="3"/>
        <v>6325.37</v>
      </c>
      <c r="O15" s="48" t="b">
        <v>0</v>
      </c>
      <c r="P15" s="29"/>
      <c r="Q15" s="31"/>
      <c r="R15" s="41"/>
      <c r="S15" s="29"/>
      <c r="T15" s="29"/>
      <c r="U15" s="29"/>
      <c r="V15" s="36">
        <f t="shared" si="5"/>
        <v>2989.11</v>
      </c>
    </row>
    <row r="16" ht="15.75" customHeight="1">
      <c r="A16" s="44" t="s">
        <v>126</v>
      </c>
      <c r="B16" s="44" t="s">
        <v>127</v>
      </c>
      <c r="C16" s="45">
        <v>64.22</v>
      </c>
      <c r="D16" s="44">
        <v>1.0</v>
      </c>
      <c r="E16" s="44">
        <v>2.0</v>
      </c>
      <c r="F16" s="44">
        <f t="shared" si="1"/>
        <v>2</v>
      </c>
      <c r="G16" s="61" t="s">
        <v>128</v>
      </c>
      <c r="H16" s="44" t="s">
        <v>121</v>
      </c>
      <c r="I16" s="47" t="s">
        <v>129</v>
      </c>
      <c r="J16" s="48"/>
      <c r="K16" s="48"/>
      <c r="L16" s="48"/>
      <c r="M16" s="49">
        <f t="shared" si="2"/>
        <v>128.44</v>
      </c>
      <c r="N16" s="50">
        <f t="shared" si="3"/>
        <v>6453.81</v>
      </c>
      <c r="O16" s="48" t="b">
        <v>0</v>
      </c>
      <c r="P16" s="29"/>
      <c r="Q16" s="31"/>
      <c r="R16" s="9"/>
      <c r="S16" s="29"/>
      <c r="T16" s="29"/>
      <c r="U16" s="29"/>
      <c r="V16" s="36">
        <f t="shared" si="5"/>
        <v>3117.55</v>
      </c>
    </row>
    <row r="17" ht="15.75" customHeight="1">
      <c r="A17" s="69" t="s">
        <v>133</v>
      </c>
      <c r="B17" s="44" t="s">
        <v>135</v>
      </c>
      <c r="C17" s="45">
        <v>8.78</v>
      </c>
      <c r="D17" s="44">
        <v>12.0</v>
      </c>
      <c r="E17" s="44">
        <v>35.0</v>
      </c>
      <c r="F17" s="44">
        <f t="shared" si="1"/>
        <v>3</v>
      </c>
      <c r="G17" s="61" t="s">
        <v>136</v>
      </c>
      <c r="H17" s="44" t="s">
        <v>121</v>
      </c>
      <c r="I17" s="47" t="s">
        <v>137</v>
      </c>
      <c r="J17" s="48"/>
      <c r="K17" s="48"/>
      <c r="L17" s="48"/>
      <c r="M17" s="49">
        <f t="shared" si="2"/>
        <v>26.34</v>
      </c>
      <c r="N17" s="50">
        <f t="shared" si="3"/>
        <v>6480.15</v>
      </c>
      <c r="O17" s="48" t="b">
        <v>0</v>
      </c>
      <c r="P17" s="29"/>
      <c r="Q17" s="31"/>
      <c r="R17" s="9"/>
      <c r="S17" s="29"/>
      <c r="T17" s="29"/>
      <c r="U17" s="29"/>
      <c r="V17" s="36">
        <f t="shared" si="5"/>
        <v>3143.89</v>
      </c>
    </row>
    <row r="18" ht="15.75" customHeight="1">
      <c r="A18" s="44" t="s">
        <v>139</v>
      </c>
      <c r="B18" s="44" t="s">
        <v>140</v>
      </c>
      <c r="C18" s="45">
        <v>19.67</v>
      </c>
      <c r="D18" s="44">
        <v>50.0</v>
      </c>
      <c r="E18" s="44">
        <v>8.0</v>
      </c>
      <c r="F18" s="44">
        <f t="shared" si="1"/>
        <v>1</v>
      </c>
      <c r="G18" s="61" t="s">
        <v>141</v>
      </c>
      <c r="H18" s="44" t="s">
        <v>121</v>
      </c>
      <c r="I18" s="47" t="s">
        <v>142</v>
      </c>
      <c r="J18" s="48"/>
      <c r="K18" s="48"/>
      <c r="L18" s="48"/>
      <c r="M18" s="49">
        <f t="shared" si="2"/>
        <v>19.67</v>
      </c>
      <c r="N18" s="50">
        <f t="shared" si="3"/>
        <v>6499.82</v>
      </c>
      <c r="O18" s="48" t="b">
        <v>0</v>
      </c>
      <c r="P18" s="29"/>
      <c r="Q18" s="31"/>
      <c r="R18" s="9"/>
      <c r="S18" s="29"/>
      <c r="T18" s="29"/>
      <c r="U18" s="29"/>
      <c r="V18" s="36">
        <f t="shared" si="5"/>
        <v>3163.56</v>
      </c>
    </row>
    <row r="19" ht="15.75" customHeight="1">
      <c r="A19" s="44" t="s">
        <v>146</v>
      </c>
      <c r="B19" s="44" t="s">
        <v>147</v>
      </c>
      <c r="C19" s="45">
        <v>16.66</v>
      </c>
      <c r="D19" s="44">
        <v>100.0</v>
      </c>
      <c r="E19" s="44">
        <v>4.0</v>
      </c>
      <c r="F19" s="44">
        <f t="shared" si="1"/>
        <v>1</v>
      </c>
      <c r="G19" s="61" t="s">
        <v>148</v>
      </c>
      <c r="H19" s="44" t="s">
        <v>121</v>
      </c>
      <c r="I19" s="47" t="s">
        <v>149</v>
      </c>
      <c r="J19" s="48"/>
      <c r="K19" s="48"/>
      <c r="L19" s="48"/>
      <c r="M19" s="49">
        <f t="shared" si="2"/>
        <v>16.66</v>
      </c>
      <c r="N19" s="50">
        <f t="shared" si="3"/>
        <v>6516.48</v>
      </c>
      <c r="O19" s="48" t="b">
        <v>0</v>
      </c>
      <c r="P19" s="29"/>
      <c r="Q19" s="31"/>
      <c r="R19" s="41"/>
      <c r="S19" s="29"/>
      <c r="T19" s="29"/>
      <c r="U19" s="29"/>
      <c r="V19" s="36">
        <f t="shared" si="5"/>
        <v>3180.22</v>
      </c>
    </row>
    <row r="20" ht="15.75" customHeight="1">
      <c r="A20" s="44" t="s">
        <v>153</v>
      </c>
      <c r="B20" s="44" t="s">
        <v>147</v>
      </c>
      <c r="C20" s="45">
        <v>3.52</v>
      </c>
      <c r="D20" s="44">
        <v>100.0</v>
      </c>
      <c r="E20" s="44">
        <v>4.0</v>
      </c>
      <c r="F20" s="44">
        <f t="shared" si="1"/>
        <v>1</v>
      </c>
      <c r="G20" s="61" t="s">
        <v>155</v>
      </c>
      <c r="H20" s="44" t="s">
        <v>121</v>
      </c>
      <c r="I20" s="47" t="s">
        <v>156</v>
      </c>
      <c r="J20" s="48"/>
      <c r="K20" s="48"/>
      <c r="L20" s="48"/>
      <c r="M20" s="49">
        <f t="shared" si="2"/>
        <v>3.52</v>
      </c>
      <c r="N20" s="50">
        <f t="shared" si="3"/>
        <v>6520</v>
      </c>
      <c r="O20" s="48" t="b">
        <v>0</v>
      </c>
      <c r="P20" s="29"/>
      <c r="Q20" s="31"/>
      <c r="R20" s="41"/>
      <c r="S20" s="29"/>
      <c r="T20" s="29"/>
      <c r="U20" s="29"/>
      <c r="V20" s="36">
        <f t="shared" si="5"/>
        <v>3183.74</v>
      </c>
    </row>
    <row r="21" ht="15.75" customHeight="1">
      <c r="A21" s="69" t="s">
        <v>158</v>
      </c>
      <c r="B21" s="69" t="s">
        <v>159</v>
      </c>
      <c r="C21" s="45">
        <v>5.36</v>
      </c>
      <c r="D21" s="44">
        <v>100.0</v>
      </c>
      <c r="E21" s="44">
        <v>324.0</v>
      </c>
      <c r="F21" s="44">
        <f t="shared" si="1"/>
        <v>4</v>
      </c>
      <c r="G21" s="61" t="s">
        <v>160</v>
      </c>
      <c r="H21" s="44" t="s">
        <v>121</v>
      </c>
      <c r="I21" s="47" t="s">
        <v>161</v>
      </c>
      <c r="J21" s="48"/>
      <c r="K21" s="48"/>
      <c r="L21" s="48"/>
      <c r="M21" s="49">
        <f t="shared" si="2"/>
        <v>21.44</v>
      </c>
      <c r="N21" s="50">
        <f t="shared" si="3"/>
        <v>6541.44</v>
      </c>
      <c r="O21" s="48" t="b">
        <v>0</v>
      </c>
      <c r="P21" s="29"/>
      <c r="Q21" s="31"/>
      <c r="R21" s="41"/>
      <c r="S21" s="29"/>
      <c r="T21" s="29"/>
      <c r="U21" s="29"/>
      <c r="V21" s="36">
        <f t="shared" si="5"/>
        <v>3205.18</v>
      </c>
    </row>
    <row r="22" ht="15.75" customHeight="1">
      <c r="A22" s="44" t="s">
        <v>167</v>
      </c>
      <c r="B22" s="44" t="s">
        <v>168</v>
      </c>
      <c r="C22" s="81">
        <v>6.26</v>
      </c>
      <c r="D22" s="44">
        <v>100.0</v>
      </c>
      <c r="E22" s="44">
        <v>8.0</v>
      </c>
      <c r="F22" s="44">
        <f t="shared" si="1"/>
        <v>1</v>
      </c>
      <c r="G22" s="61" t="s">
        <v>170</v>
      </c>
      <c r="H22" s="44" t="s">
        <v>121</v>
      </c>
      <c r="I22" s="84" t="s">
        <v>172</v>
      </c>
      <c r="J22" s="48"/>
      <c r="K22" s="48"/>
      <c r="L22" s="48"/>
      <c r="M22" s="49">
        <f t="shared" si="2"/>
        <v>6.26</v>
      </c>
      <c r="N22" s="50">
        <f t="shared" si="3"/>
        <v>6547.7</v>
      </c>
      <c r="O22" s="48" t="b">
        <v>0</v>
      </c>
      <c r="P22" s="29"/>
      <c r="Q22" s="31"/>
      <c r="R22" s="29"/>
      <c r="S22" s="29"/>
      <c r="T22" s="29"/>
      <c r="U22" s="29"/>
      <c r="V22" s="36">
        <f t="shared" si="5"/>
        <v>3211.44</v>
      </c>
    </row>
    <row r="23" ht="15.75" customHeight="1">
      <c r="A23" s="44" t="s">
        <v>181</v>
      </c>
      <c r="B23" s="44" t="s">
        <v>182</v>
      </c>
      <c r="C23" s="45">
        <v>7.48</v>
      </c>
      <c r="D23" s="44">
        <v>12.0</v>
      </c>
      <c r="E23" s="44">
        <v>80.0</v>
      </c>
      <c r="F23" s="44">
        <f t="shared" si="1"/>
        <v>7</v>
      </c>
      <c r="G23" s="61" t="s">
        <v>183</v>
      </c>
      <c r="H23" s="44" t="s">
        <v>121</v>
      </c>
      <c r="I23" s="47" t="s">
        <v>184</v>
      </c>
      <c r="J23" s="48"/>
      <c r="K23" s="48"/>
      <c r="L23" s="48"/>
      <c r="M23" s="49">
        <f t="shared" si="2"/>
        <v>52.36</v>
      </c>
      <c r="N23" s="50">
        <f t="shared" si="3"/>
        <v>6600.06</v>
      </c>
      <c r="O23" s="48" t="b">
        <v>0</v>
      </c>
      <c r="P23" s="29"/>
      <c r="Q23" s="31"/>
      <c r="R23" s="29"/>
      <c r="S23" s="29"/>
      <c r="T23" s="29"/>
      <c r="U23" s="29"/>
      <c r="V23" s="36">
        <f t="shared" si="5"/>
        <v>3263.8</v>
      </c>
    </row>
    <row r="24" ht="15.75" customHeight="1">
      <c r="A24" s="44" t="s">
        <v>187</v>
      </c>
      <c r="B24" s="44" t="s">
        <v>189</v>
      </c>
      <c r="C24" s="45">
        <v>9.35</v>
      </c>
      <c r="D24" s="44">
        <v>5.0</v>
      </c>
      <c r="E24" s="44">
        <v>3.0</v>
      </c>
      <c r="F24" s="44">
        <f t="shared" si="1"/>
        <v>1</v>
      </c>
      <c r="G24" s="91" t="s">
        <v>192</v>
      </c>
      <c r="H24" s="44" t="s">
        <v>121</v>
      </c>
      <c r="I24" s="47" t="s">
        <v>193</v>
      </c>
      <c r="J24" s="48"/>
      <c r="K24" s="48"/>
      <c r="L24" s="48"/>
      <c r="M24" s="49">
        <f t="shared" si="2"/>
        <v>9.35</v>
      </c>
      <c r="N24" s="50">
        <f t="shared" si="3"/>
        <v>6609.41</v>
      </c>
      <c r="O24" s="48"/>
      <c r="P24" s="29"/>
      <c r="Q24" s="31"/>
      <c r="R24" s="29"/>
      <c r="S24" s="29"/>
      <c r="T24" s="29"/>
      <c r="U24" s="29"/>
      <c r="V24" s="36">
        <f t="shared" si="5"/>
        <v>3273.15</v>
      </c>
    </row>
    <row r="25" ht="15.75" customHeight="1">
      <c r="A25" s="44" t="s">
        <v>139</v>
      </c>
      <c r="B25" s="44" t="s">
        <v>195</v>
      </c>
      <c r="C25" s="45">
        <v>9.86</v>
      </c>
      <c r="D25" s="44">
        <v>100.0</v>
      </c>
      <c r="E25" s="44">
        <v>12.0</v>
      </c>
      <c r="F25" s="44">
        <f t="shared" si="1"/>
        <v>1</v>
      </c>
      <c r="G25" s="96" t="s">
        <v>198</v>
      </c>
      <c r="H25" s="44" t="s">
        <v>121</v>
      </c>
      <c r="I25" s="99" t="s">
        <v>199</v>
      </c>
      <c r="J25" s="44"/>
      <c r="K25" s="44"/>
      <c r="L25" s="44"/>
      <c r="M25" s="49">
        <f t="shared" si="2"/>
        <v>9.86</v>
      </c>
      <c r="N25" s="50">
        <f t="shared" si="3"/>
        <v>6619.27</v>
      </c>
      <c r="O25" s="48"/>
      <c r="P25" s="29"/>
      <c r="Q25" s="31"/>
      <c r="R25" s="29"/>
      <c r="S25" s="29"/>
      <c r="T25" s="29"/>
      <c r="U25" s="29"/>
      <c r="V25" s="36">
        <f t="shared" si="5"/>
        <v>3283.01</v>
      </c>
    </row>
    <row r="26" ht="15.75" customHeight="1">
      <c r="A26" s="44" t="s">
        <v>201</v>
      </c>
      <c r="B26" s="44" t="s">
        <v>202</v>
      </c>
      <c r="C26" s="45">
        <v>8.83</v>
      </c>
      <c r="D26" s="44">
        <v>100.0</v>
      </c>
      <c r="E26" s="44">
        <v>24.0</v>
      </c>
      <c r="F26" s="44">
        <f t="shared" si="1"/>
        <v>1</v>
      </c>
      <c r="G26" s="100" t="s">
        <v>203</v>
      </c>
      <c r="H26" s="44" t="s">
        <v>121</v>
      </c>
      <c r="I26" s="47" t="s">
        <v>205</v>
      </c>
      <c r="J26" s="48"/>
      <c r="K26" s="48"/>
      <c r="L26" s="48"/>
      <c r="M26" s="49">
        <f t="shared" si="2"/>
        <v>8.83</v>
      </c>
      <c r="N26" s="50">
        <f t="shared" si="3"/>
        <v>6628.1</v>
      </c>
      <c r="O26" s="48"/>
      <c r="P26" s="29"/>
      <c r="Q26" s="31"/>
      <c r="R26" s="29"/>
      <c r="S26" s="29"/>
      <c r="T26" s="29"/>
      <c r="U26" s="29"/>
      <c r="V26" s="36">
        <f t="shared" si="5"/>
        <v>3291.84</v>
      </c>
    </row>
    <row r="27" ht="15.75" customHeight="1">
      <c r="A27" s="44" t="s">
        <v>209</v>
      </c>
      <c r="B27" s="44" t="s">
        <v>210</v>
      </c>
      <c r="C27" s="102">
        <v>6.61</v>
      </c>
      <c r="D27" s="44">
        <v>1.0</v>
      </c>
      <c r="E27" s="44">
        <v>8.0</v>
      </c>
      <c r="F27" s="44">
        <f t="shared" si="1"/>
        <v>8</v>
      </c>
      <c r="G27" s="103" t="s">
        <v>211</v>
      </c>
      <c r="H27" s="48" t="s">
        <v>121</v>
      </c>
      <c r="I27" s="107" t="s">
        <v>212</v>
      </c>
      <c r="J27" s="48"/>
      <c r="K27" s="48"/>
      <c r="L27" s="48"/>
      <c r="M27" s="49">
        <f t="shared" si="2"/>
        <v>52.88</v>
      </c>
      <c r="N27" s="50">
        <f t="shared" si="3"/>
        <v>6680.98</v>
      </c>
      <c r="O27" s="48"/>
      <c r="P27" s="29"/>
      <c r="Q27" s="31"/>
      <c r="R27" s="41"/>
      <c r="S27" s="29"/>
      <c r="T27" s="29"/>
      <c r="U27" s="29"/>
      <c r="V27" s="36">
        <f t="shared" si="5"/>
        <v>3344.72</v>
      </c>
    </row>
    <row r="28" ht="15.75" customHeight="1">
      <c r="A28" s="44" t="s">
        <v>215</v>
      </c>
      <c r="B28" s="44" t="s">
        <v>216</v>
      </c>
      <c r="C28" s="45">
        <v>13.1</v>
      </c>
      <c r="D28" s="44">
        <v>100.0</v>
      </c>
      <c r="E28" s="44">
        <v>8.0</v>
      </c>
      <c r="F28" s="44">
        <f t="shared" si="1"/>
        <v>1</v>
      </c>
      <c r="G28" s="96" t="s">
        <v>217</v>
      </c>
      <c r="H28" s="48" t="s">
        <v>121</v>
      </c>
      <c r="I28" s="47" t="s">
        <v>218</v>
      </c>
      <c r="J28" s="48"/>
      <c r="K28" s="48"/>
      <c r="L28" s="48"/>
      <c r="M28" s="49">
        <f t="shared" si="2"/>
        <v>13.1</v>
      </c>
      <c r="N28" s="50">
        <f t="shared" si="3"/>
        <v>6694.08</v>
      </c>
      <c r="O28" s="48"/>
      <c r="Q28" s="31"/>
      <c r="S28" s="32"/>
      <c r="V28" s="36">
        <f t="shared" si="5"/>
        <v>3357.82</v>
      </c>
    </row>
    <row r="29" ht="15.75" customHeight="1">
      <c r="A29" s="44" t="s">
        <v>221</v>
      </c>
      <c r="B29" s="44" t="s">
        <v>222</v>
      </c>
      <c r="C29" s="45">
        <v>7.36</v>
      </c>
      <c r="D29" s="44">
        <v>1.0</v>
      </c>
      <c r="E29" s="44">
        <v>4.0</v>
      </c>
      <c r="F29" s="44">
        <f t="shared" si="1"/>
        <v>4</v>
      </c>
      <c r="G29" s="96" t="s">
        <v>211</v>
      </c>
      <c r="H29" s="48" t="s">
        <v>121</v>
      </c>
      <c r="I29" s="47" t="s">
        <v>212</v>
      </c>
      <c r="J29" s="48"/>
      <c r="K29" s="48"/>
      <c r="L29" s="48"/>
      <c r="M29" s="49">
        <f t="shared" si="2"/>
        <v>29.44</v>
      </c>
      <c r="N29" s="50">
        <f t="shared" si="3"/>
        <v>6723.52</v>
      </c>
      <c r="O29" s="48"/>
      <c r="Q29" s="31"/>
      <c r="V29" s="36">
        <f t="shared" si="5"/>
        <v>3387.26</v>
      </c>
    </row>
    <row r="30" ht="15.75" customHeight="1">
      <c r="A30" s="15" t="s">
        <v>235</v>
      </c>
      <c r="B30" s="15" t="s">
        <v>202</v>
      </c>
      <c r="C30" s="16">
        <v>14.3</v>
      </c>
      <c r="D30" s="15">
        <v>50.0</v>
      </c>
      <c r="E30" s="15">
        <v>12.0</v>
      </c>
      <c r="F30" s="15">
        <f t="shared" si="1"/>
        <v>1</v>
      </c>
      <c r="G30" s="109" t="s">
        <v>237</v>
      </c>
      <c r="H30" s="21" t="s">
        <v>121</v>
      </c>
      <c r="I30" s="19" t="s">
        <v>239</v>
      </c>
      <c r="J30" s="21"/>
      <c r="K30" s="21"/>
      <c r="L30" s="21"/>
      <c r="M30" s="26">
        <f t="shared" si="2"/>
        <v>14.3</v>
      </c>
      <c r="N30" s="110">
        <f t="shared" si="3"/>
        <v>6737.82</v>
      </c>
      <c r="O30" s="21"/>
      <c r="Q30" s="31"/>
    </row>
    <row r="31" ht="15.75" customHeight="1">
      <c r="A31" s="15" t="s">
        <v>240</v>
      </c>
      <c r="B31" s="15" t="s">
        <v>241</v>
      </c>
      <c r="C31" s="16">
        <v>3.8</v>
      </c>
      <c r="D31" s="15">
        <v>1.0</v>
      </c>
      <c r="E31" s="15">
        <v>4.0</v>
      </c>
      <c r="F31" s="15">
        <f>CEILING(E31/$D$27,1)</f>
        <v>4</v>
      </c>
      <c r="G31" s="109" t="s">
        <v>242</v>
      </c>
      <c r="H31" s="21" t="s">
        <v>121</v>
      </c>
      <c r="I31" s="111" t="s">
        <v>243</v>
      </c>
      <c r="J31" s="88"/>
      <c r="K31" s="21"/>
      <c r="L31" s="21"/>
      <c r="M31" s="26">
        <f t="shared" si="2"/>
        <v>15.2</v>
      </c>
      <c r="N31" s="110">
        <f t="shared" si="3"/>
        <v>6753.02</v>
      </c>
      <c r="O31" s="21"/>
      <c r="P31" s="29"/>
      <c r="Q31" s="31"/>
    </row>
    <row r="32" ht="15.75" customHeight="1">
      <c r="A32" s="29"/>
      <c r="B32" s="89"/>
      <c r="C32" s="36"/>
      <c r="D32" s="29"/>
      <c r="E32" s="29"/>
      <c r="G32" s="90"/>
      <c r="H32" s="29"/>
      <c r="I32" s="29"/>
      <c r="N32" s="90"/>
      <c r="Q32" s="31"/>
      <c r="Z32" s="93"/>
    </row>
    <row r="33" ht="15.75" customHeight="1">
      <c r="A33" s="29"/>
      <c r="B33" s="29"/>
      <c r="C33" s="33"/>
      <c r="D33" s="29"/>
      <c r="E33" s="29"/>
      <c r="F33" s="29"/>
      <c r="G33" s="71"/>
      <c r="H33" s="29"/>
      <c r="I33" s="29"/>
      <c r="N33" s="90"/>
      <c r="Q33" s="31"/>
      <c r="Z33" s="94"/>
    </row>
    <row r="34" ht="15.75" customHeight="1">
      <c r="A34" s="29"/>
      <c r="B34" s="29"/>
      <c r="C34" s="36"/>
      <c r="D34" s="29"/>
      <c r="E34" s="29"/>
      <c r="G34" s="90"/>
      <c r="H34" s="29"/>
      <c r="I34" s="29"/>
      <c r="N34" s="90"/>
      <c r="Q34" s="31"/>
    </row>
    <row r="35" ht="15.75" customHeight="1">
      <c r="A35" s="29"/>
      <c r="B35" s="29"/>
      <c r="C35" s="36"/>
      <c r="D35" s="29"/>
      <c r="E35" s="29"/>
      <c r="G35" s="90"/>
      <c r="H35" s="29"/>
      <c r="I35" s="29"/>
      <c r="N35" s="90"/>
      <c r="Q35" s="31"/>
    </row>
    <row r="36" ht="15.75" customHeight="1">
      <c r="A36" s="29"/>
      <c r="B36" s="29"/>
      <c r="C36" s="36"/>
      <c r="D36" s="29"/>
      <c r="E36" s="29"/>
      <c r="G36" s="90"/>
      <c r="H36" s="29"/>
      <c r="I36" s="29"/>
      <c r="N36" s="90"/>
      <c r="Q36" s="31"/>
      <c r="Z36" s="33"/>
    </row>
    <row r="37" ht="15.75" customHeight="1">
      <c r="A37" s="29"/>
      <c r="B37" s="29"/>
      <c r="C37" s="36"/>
      <c r="D37" s="29"/>
      <c r="E37" s="29"/>
      <c r="G37" s="90"/>
      <c r="H37" s="29"/>
      <c r="I37" s="29"/>
      <c r="N37" s="90"/>
      <c r="Q37" s="31"/>
    </row>
    <row r="38" ht="15.75" customHeight="1">
      <c r="A38" s="29"/>
      <c r="B38" s="29"/>
      <c r="C38" s="36"/>
      <c r="D38" s="29"/>
      <c r="E38" s="29"/>
      <c r="G38" s="90"/>
      <c r="H38" s="29"/>
      <c r="I38" s="29"/>
      <c r="N38" s="90"/>
      <c r="Q38" s="31"/>
    </row>
    <row r="39" ht="15.75" customHeight="1">
      <c r="A39" s="29"/>
      <c r="B39" s="29"/>
      <c r="C39" s="36"/>
      <c r="D39" s="29"/>
      <c r="E39" s="29"/>
      <c r="F39" s="29"/>
      <c r="H39" s="29"/>
      <c r="I39" s="29"/>
      <c r="N39" s="90"/>
      <c r="Q39" s="31"/>
    </row>
    <row r="40" ht="15.75" customHeight="1">
      <c r="A40" s="29"/>
      <c r="B40" s="29"/>
      <c r="C40" s="36"/>
      <c r="D40" s="29"/>
      <c r="E40" s="29"/>
      <c r="F40" s="29"/>
      <c r="H40" s="29"/>
      <c r="I40" s="29"/>
      <c r="N40" s="90"/>
      <c r="Q40" s="31"/>
    </row>
    <row r="41" ht="15.75" customHeight="1">
      <c r="A41" s="29"/>
      <c r="B41" s="29"/>
      <c r="C41" s="36"/>
      <c r="D41" s="29"/>
      <c r="E41" s="29"/>
      <c r="F41" s="29"/>
      <c r="H41" s="29"/>
      <c r="I41" s="29"/>
      <c r="N41" s="90"/>
      <c r="Q41" s="31"/>
    </row>
    <row r="42" ht="15.75" customHeight="1">
      <c r="I42" s="29"/>
      <c r="Q42" s="31"/>
    </row>
    <row r="43" ht="15.75" customHeight="1">
      <c r="G43" s="97"/>
      <c r="I43" s="29"/>
      <c r="L43" s="98" t="s">
        <v>234</v>
      </c>
      <c r="M43" s="112">
        <f>SUM(M2:M41)</f>
        <v>6753.02</v>
      </c>
      <c r="Q43" s="31"/>
    </row>
    <row r="44" ht="15.75" customHeight="1">
      <c r="G44" s="97"/>
      <c r="I44" s="29"/>
      <c r="Q44" s="31"/>
    </row>
    <row r="45" ht="15.75" customHeight="1">
      <c r="G45" s="97"/>
      <c r="I45" s="29"/>
      <c r="Q45" s="31"/>
    </row>
    <row r="46" ht="15.75" customHeight="1">
      <c r="G46" s="97"/>
      <c r="I46" s="29"/>
      <c r="Q46" s="31"/>
    </row>
    <row r="47" ht="15.75" customHeight="1">
      <c r="G47" s="97"/>
      <c r="I47" s="29"/>
      <c r="Q47" s="31"/>
    </row>
    <row r="48" ht="15.75" customHeight="1">
      <c r="G48" s="97"/>
      <c r="I48" s="29"/>
      <c r="Q48" s="31"/>
    </row>
    <row r="49" ht="15.75" customHeight="1">
      <c r="G49" s="97"/>
      <c r="I49" s="29"/>
      <c r="Q49" s="31"/>
    </row>
    <row r="50" ht="15.75" customHeight="1">
      <c r="G50" s="97"/>
      <c r="I50" s="29"/>
      <c r="Q50" s="31"/>
    </row>
    <row r="51" ht="15.75" customHeight="1">
      <c r="G51" s="97"/>
      <c r="I51" s="29"/>
      <c r="Q51" s="31"/>
    </row>
    <row r="52" ht="15.75" customHeight="1">
      <c r="G52" s="97"/>
      <c r="I52" s="29"/>
      <c r="Q52" s="31"/>
    </row>
    <row r="53" ht="15.75" customHeight="1">
      <c r="G53" s="97"/>
      <c r="I53" s="29"/>
      <c r="Q53" s="31"/>
    </row>
    <row r="54" ht="15.75" customHeight="1">
      <c r="G54" s="97"/>
      <c r="I54" s="29"/>
      <c r="Q54" s="31"/>
    </row>
    <row r="55" ht="15.75" customHeight="1">
      <c r="G55" s="97"/>
      <c r="I55" s="29"/>
      <c r="Q55" s="31"/>
    </row>
    <row r="56" ht="15.75" customHeight="1">
      <c r="G56" s="97"/>
      <c r="I56" s="29"/>
      <c r="Q56" s="31"/>
    </row>
    <row r="57" ht="15.75" customHeight="1">
      <c r="G57" s="97"/>
      <c r="I57" s="29"/>
      <c r="Q57" s="31"/>
    </row>
    <row r="58" ht="15.75" customHeight="1">
      <c r="C58" s="36"/>
      <c r="I58" s="29"/>
      <c r="N58" s="101"/>
      <c r="Q58" s="31"/>
    </row>
    <row r="59" ht="15.75" customHeight="1">
      <c r="C59" s="33"/>
      <c r="I59" s="29"/>
      <c r="N59" s="101"/>
      <c r="Q59" s="31"/>
    </row>
    <row r="60" ht="15.75" customHeight="1">
      <c r="G60" s="97"/>
      <c r="I60" s="29"/>
      <c r="Q60" s="31"/>
    </row>
    <row r="61" ht="15.75" customHeight="1">
      <c r="G61" s="97"/>
      <c r="I61" s="29"/>
      <c r="Q61" s="31"/>
    </row>
    <row r="62" ht="15.75" customHeight="1">
      <c r="G62" s="97"/>
      <c r="I62" s="29"/>
      <c r="Q62" s="31"/>
    </row>
    <row r="63" ht="15.75" customHeight="1">
      <c r="G63" s="97"/>
      <c r="I63" s="29"/>
      <c r="Q63" s="31"/>
    </row>
    <row r="64" ht="15.75" customHeight="1">
      <c r="G64" s="97"/>
      <c r="I64" s="29"/>
      <c r="Q64" s="31"/>
    </row>
    <row r="65" ht="15.75" customHeight="1">
      <c r="G65" s="97"/>
      <c r="I65" s="29"/>
      <c r="Q65" s="31"/>
    </row>
    <row r="66" ht="15.75" customHeight="1">
      <c r="G66" s="97"/>
      <c r="I66" s="29"/>
      <c r="Q66" s="31"/>
    </row>
    <row r="67" ht="15.75" customHeight="1">
      <c r="I67" s="29"/>
      <c r="Q67" s="31"/>
    </row>
    <row r="68" ht="15.75" customHeight="1">
      <c r="I68" s="29"/>
      <c r="Q68" s="31"/>
    </row>
    <row r="69" ht="15.75" customHeight="1">
      <c r="I69" s="29"/>
      <c r="Q69" s="31"/>
    </row>
    <row r="70" ht="15.75" customHeight="1">
      <c r="I70" s="29"/>
      <c r="Q70" s="31"/>
    </row>
    <row r="71" ht="15.75" customHeight="1">
      <c r="I71" s="29"/>
      <c r="Q71" s="31"/>
    </row>
    <row r="72" ht="15.75" customHeight="1">
      <c r="I72" s="29"/>
      <c r="Q72" s="31"/>
    </row>
    <row r="73" ht="15.75" customHeight="1">
      <c r="I73" s="29"/>
      <c r="Q73" s="31"/>
    </row>
    <row r="74" ht="15.75" customHeight="1">
      <c r="I74" s="29"/>
      <c r="Q74" s="31"/>
    </row>
    <row r="75" ht="15.75" customHeight="1">
      <c r="I75" s="29"/>
      <c r="Q75" s="31"/>
    </row>
    <row r="76" ht="15.75" customHeight="1">
      <c r="I76" s="29"/>
      <c r="Q76" s="31"/>
    </row>
    <row r="77" ht="15.75" customHeight="1">
      <c r="I77" s="29"/>
      <c r="Q77" s="31"/>
    </row>
    <row r="78" ht="15.75" customHeight="1">
      <c r="I78" s="29"/>
      <c r="Q78" s="31"/>
    </row>
    <row r="79" ht="15.75" customHeight="1">
      <c r="I79" s="29"/>
      <c r="Q79" s="31"/>
    </row>
    <row r="80" ht="15.75" customHeight="1">
      <c r="I80" s="29"/>
      <c r="Q80" s="31"/>
    </row>
    <row r="81" ht="15.75" customHeight="1">
      <c r="I81" s="29"/>
      <c r="Q81" s="31"/>
    </row>
    <row r="82" ht="15.75" customHeight="1">
      <c r="I82" s="29"/>
      <c r="Q82" s="31"/>
    </row>
    <row r="83" ht="15.75" customHeight="1">
      <c r="I83" s="29"/>
      <c r="Q83" s="31"/>
    </row>
    <row r="84" ht="15.75" customHeight="1">
      <c r="I84" s="29"/>
      <c r="Q84" s="31"/>
    </row>
    <row r="85" ht="15.75" customHeight="1">
      <c r="I85" s="29"/>
      <c r="Q85" s="31"/>
    </row>
    <row r="86" ht="15.75" customHeight="1">
      <c r="I86" s="29"/>
      <c r="Q86" s="31"/>
    </row>
    <row r="87" ht="15.75" customHeight="1">
      <c r="I87" s="29"/>
      <c r="Q87" s="31"/>
    </row>
    <row r="88" ht="15.75" customHeight="1">
      <c r="I88" s="29"/>
      <c r="Q88" s="31"/>
    </row>
    <row r="89" ht="15.75" customHeight="1">
      <c r="I89" s="29"/>
      <c r="Q89" s="31"/>
    </row>
    <row r="90" ht="15.75" customHeight="1">
      <c r="I90" s="29"/>
      <c r="Q90" s="31"/>
    </row>
    <row r="91" ht="15.75" customHeight="1">
      <c r="I91" s="29"/>
      <c r="Q91" s="31"/>
    </row>
    <row r="92" ht="15.75" customHeight="1">
      <c r="I92" s="29"/>
      <c r="Q92" s="31"/>
    </row>
    <row r="93" ht="15.75" customHeight="1">
      <c r="I93" s="29"/>
      <c r="Q93" s="31"/>
    </row>
    <row r="94" ht="15.75" customHeight="1">
      <c r="I94" s="29"/>
      <c r="Q94" s="31"/>
    </row>
    <row r="95" ht="15.75" customHeight="1">
      <c r="I95" s="29"/>
      <c r="Q95" s="31"/>
    </row>
    <row r="96" ht="15.75" customHeight="1">
      <c r="I96" s="29"/>
      <c r="Q96" s="31"/>
    </row>
    <row r="97" ht="15.75" customHeight="1">
      <c r="I97" s="29"/>
      <c r="Q97" s="31"/>
    </row>
    <row r="98" ht="15.75" customHeight="1">
      <c r="I98" s="29"/>
      <c r="Q98" s="31"/>
    </row>
    <row r="99" ht="15.75" customHeight="1">
      <c r="I99" s="29"/>
      <c r="Q99" s="31"/>
    </row>
    <row r="100" ht="15.75" customHeight="1">
      <c r="I100" s="29"/>
      <c r="Q100" s="31"/>
    </row>
    <row r="101" ht="15.75" customHeight="1">
      <c r="I101" s="29"/>
      <c r="Q101" s="31"/>
    </row>
    <row r="102" ht="15.75" customHeight="1">
      <c r="I102" s="29"/>
      <c r="Q102" s="31"/>
    </row>
    <row r="103" ht="15.75" customHeight="1">
      <c r="I103" s="29"/>
      <c r="Q103" s="31"/>
    </row>
    <row r="104" ht="15.75" customHeight="1">
      <c r="I104" s="29"/>
      <c r="Q104" s="31"/>
    </row>
    <row r="105" ht="15.75" customHeight="1">
      <c r="I105" s="29"/>
      <c r="Q105" s="31"/>
    </row>
    <row r="106" ht="15.75" customHeight="1">
      <c r="I106" s="29"/>
      <c r="Q106" s="31"/>
    </row>
    <row r="107" ht="15.75" customHeight="1">
      <c r="I107" s="29"/>
      <c r="Q107" s="31"/>
    </row>
    <row r="108" ht="15.75" customHeight="1">
      <c r="I108" s="29"/>
      <c r="Q108" s="31"/>
    </row>
    <row r="109" ht="15.75" customHeight="1">
      <c r="I109" s="29"/>
      <c r="Q109" s="31"/>
    </row>
    <row r="110" ht="15.75" customHeight="1">
      <c r="I110" s="29"/>
      <c r="Q110" s="31"/>
    </row>
    <row r="111" ht="15.75" customHeight="1">
      <c r="I111" s="29"/>
      <c r="Q111" s="31"/>
    </row>
    <row r="112" ht="15.75" customHeight="1">
      <c r="I112" s="29"/>
      <c r="Q112" s="31"/>
    </row>
    <row r="113" ht="15.75" customHeight="1">
      <c r="I113" s="29"/>
      <c r="Q113" s="31"/>
    </row>
    <row r="114" ht="15.75" customHeight="1">
      <c r="I114" s="29"/>
      <c r="Q114" s="31"/>
    </row>
    <row r="115" ht="15.75" customHeight="1">
      <c r="I115" s="29"/>
      <c r="Q115" s="31"/>
    </row>
    <row r="116" ht="15.75" customHeight="1">
      <c r="I116" s="29"/>
      <c r="Q116" s="31"/>
    </row>
    <row r="117" ht="15.75" customHeight="1">
      <c r="I117" s="29"/>
      <c r="Q117" s="31"/>
    </row>
    <row r="118" ht="15.75" customHeight="1">
      <c r="I118" s="29"/>
      <c r="Q118" s="31"/>
    </row>
    <row r="119" ht="15.75" customHeight="1">
      <c r="I119" s="29"/>
      <c r="Q119" s="31"/>
    </row>
    <row r="120" ht="15.75" customHeight="1">
      <c r="I120" s="29"/>
      <c r="Q120" s="31"/>
    </row>
    <row r="121" ht="15.75" customHeight="1">
      <c r="I121" s="29"/>
      <c r="Q121" s="31"/>
    </row>
    <row r="122" ht="15.75" customHeight="1">
      <c r="I122" s="29"/>
      <c r="Q122" s="31"/>
    </row>
    <row r="123" ht="15.75" customHeight="1">
      <c r="I123" s="29"/>
      <c r="Q123" s="31"/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26603AB2-D449-4378-9216-FA198B0DAC95}" filter="1" showAutoFilter="1">
      <autoFilter ref="$O$1:$O$117"/>
      <extLst>
        <ext uri="GoogleSheetsCustomDataVersion1">
          <go:sheetsCustomData xmlns:go="http://customooxmlschemas.google.com/" filterViewId="736188697"/>
        </ext>
      </extLst>
    </customSheetView>
    <customSheetView guid="{1200D565-E6F9-4E5F-A36D-DED640934FAB}" filter="1" showAutoFilter="1">
      <autoFilter ref="$H$1:$H$117"/>
      <extLst>
        <ext uri="GoogleSheetsCustomDataVersion1">
          <go:sheetsCustomData xmlns:go="http://customooxmlschemas.google.com/" filterViewId="834362343"/>
        </ext>
      </extLst>
    </customSheetView>
  </customSheetView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25"/>
    <col customWidth="1" min="2" max="2" width="36.38"/>
    <col customWidth="1" min="3" max="3" width="7.13"/>
    <col customWidth="1" min="4" max="5" width="8.75"/>
    <col customWidth="1" min="6" max="6" width="14.25"/>
    <col customWidth="1" min="8" max="8" width="20.13"/>
    <col customWidth="1" min="9" max="9" width="21.38"/>
    <col customWidth="1" min="10" max="10" width="9.5"/>
    <col customWidth="1" min="11" max="11" width="5.25"/>
    <col customWidth="1" min="12" max="12" width="7.38"/>
    <col customWidth="1" min="13" max="13" width="10.88"/>
    <col customWidth="1" min="14" max="14" width="18.5"/>
    <col customWidth="1" min="16" max="16" width="6.5"/>
    <col customWidth="1" min="17" max="17" width="7.38"/>
    <col customWidth="1" min="18" max="18" width="10.13"/>
    <col customWidth="1" min="19" max="19" width="12.13"/>
    <col customWidth="1" min="20" max="20" width="10.0"/>
    <col customWidth="1" min="21" max="21" width="11.63"/>
    <col customWidth="1" min="22" max="22" width="17.38"/>
    <col customWidth="1" min="23" max="23" width="59.25"/>
    <col customWidth="1" min="24" max="24" width="17.38"/>
  </cols>
  <sheetData>
    <row r="1" ht="50.25" customHeight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5" t="s">
        <v>9</v>
      </c>
      <c r="J1" s="1" t="s">
        <v>10</v>
      </c>
      <c r="K1" s="1" t="s">
        <v>11</v>
      </c>
      <c r="L1" s="1" t="s">
        <v>13</v>
      </c>
      <c r="M1" s="1" t="s">
        <v>14</v>
      </c>
      <c r="N1" s="1" t="s">
        <v>17</v>
      </c>
      <c r="O1" s="1" t="s">
        <v>15</v>
      </c>
      <c r="P1" s="1" t="s">
        <v>16</v>
      </c>
      <c r="Q1" s="7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24</v>
      </c>
      <c r="X1" s="1"/>
      <c r="Y1" s="1"/>
      <c r="Z1" s="1"/>
      <c r="AA1" s="1"/>
      <c r="AB1" s="1"/>
    </row>
    <row r="2" ht="15.75" customHeight="1">
      <c r="A2" s="12" t="s">
        <v>30</v>
      </c>
      <c r="B2" s="15"/>
      <c r="C2" s="16">
        <v>226.91</v>
      </c>
      <c r="D2" s="15">
        <v>1.0</v>
      </c>
      <c r="E2" s="15">
        <v>1.0</v>
      </c>
      <c r="F2" s="15">
        <f t="shared" ref="F2:F23" si="1">CEILING(E2/D2,1)</f>
        <v>1</v>
      </c>
      <c r="G2" s="15" t="s">
        <v>33</v>
      </c>
      <c r="H2" s="15" t="s">
        <v>32</v>
      </c>
      <c r="I2" s="19" t="s">
        <v>36</v>
      </c>
      <c r="J2" s="21"/>
      <c r="K2" s="21"/>
      <c r="L2" s="21"/>
      <c r="M2" s="26">
        <f t="shared" ref="M2:M24" si="2">F2*C2</f>
        <v>226.91</v>
      </c>
      <c r="N2" s="30">
        <f>M2</f>
        <v>226.91</v>
      </c>
      <c r="O2" s="21" t="b">
        <v>0</v>
      </c>
      <c r="P2" s="29"/>
      <c r="Q2" s="29" t="s">
        <v>42</v>
      </c>
      <c r="R2" s="9" t="s">
        <v>43</v>
      </c>
      <c r="S2" s="32">
        <v>45485.0</v>
      </c>
      <c r="T2" s="29"/>
      <c r="U2" s="29"/>
      <c r="V2" s="36">
        <f>M2</f>
        <v>226.91</v>
      </c>
    </row>
    <row r="3" ht="15.75" customHeight="1">
      <c r="A3" s="15" t="s">
        <v>50</v>
      </c>
      <c r="B3" s="15" t="s">
        <v>51</v>
      </c>
      <c r="C3" s="16">
        <v>226.91</v>
      </c>
      <c r="D3" s="15">
        <v>1.0</v>
      </c>
      <c r="E3" s="15">
        <v>2.0</v>
      </c>
      <c r="F3" s="15">
        <f t="shared" si="1"/>
        <v>2</v>
      </c>
      <c r="G3" s="15" t="s">
        <v>54</v>
      </c>
      <c r="H3" s="15" t="s">
        <v>32</v>
      </c>
      <c r="I3" s="19" t="s">
        <v>55</v>
      </c>
      <c r="J3" s="21"/>
      <c r="K3" s="21"/>
      <c r="L3" s="21"/>
      <c r="M3" s="26">
        <f t="shared" si="2"/>
        <v>453.82</v>
      </c>
      <c r="N3" s="30">
        <f t="shared" ref="N3:N24" si="3">N2+M3</f>
        <v>680.73</v>
      </c>
      <c r="O3" s="21" t="b">
        <v>0</v>
      </c>
      <c r="P3" s="29"/>
      <c r="Q3" s="29" t="s">
        <v>42</v>
      </c>
      <c r="R3" s="9" t="s">
        <v>43</v>
      </c>
      <c r="S3" s="32">
        <v>45485.0</v>
      </c>
      <c r="T3" s="29"/>
      <c r="U3" s="29"/>
      <c r="V3" s="36">
        <f t="shared" ref="V3:V22" si="4">V2+M3</f>
        <v>680.73</v>
      </c>
    </row>
    <row r="4" ht="15.75" customHeight="1">
      <c r="A4" s="39" t="s">
        <v>66</v>
      </c>
      <c r="B4" s="15" t="s">
        <v>67</v>
      </c>
      <c r="C4" s="16">
        <v>226.91</v>
      </c>
      <c r="D4" s="15">
        <v>1.0</v>
      </c>
      <c r="E4" s="15">
        <v>5.0</v>
      </c>
      <c r="F4" s="15">
        <f t="shared" si="1"/>
        <v>5</v>
      </c>
      <c r="G4" s="15" t="s">
        <v>68</v>
      </c>
      <c r="H4" s="15" t="s">
        <v>32</v>
      </c>
      <c r="I4" s="40" t="s">
        <v>69</v>
      </c>
      <c r="J4" s="21"/>
      <c r="K4" s="21"/>
      <c r="L4" s="21"/>
      <c r="M4" s="26">
        <f t="shared" si="2"/>
        <v>1134.55</v>
      </c>
      <c r="N4" s="30">
        <f t="shared" si="3"/>
        <v>1815.28</v>
      </c>
      <c r="O4" s="21" t="b">
        <v>0</v>
      </c>
      <c r="P4" s="29"/>
      <c r="Q4" s="29" t="s">
        <v>42</v>
      </c>
      <c r="R4" s="9" t="s">
        <v>43</v>
      </c>
      <c r="S4" s="32">
        <v>45485.0</v>
      </c>
      <c r="T4" s="29"/>
      <c r="U4" s="29"/>
      <c r="V4" s="36">
        <f t="shared" si="4"/>
        <v>1815.28</v>
      </c>
    </row>
    <row r="5" ht="15.75" customHeight="1">
      <c r="A5" s="15" t="s">
        <v>77</v>
      </c>
      <c r="B5" s="15" t="s">
        <v>78</v>
      </c>
      <c r="C5" s="16">
        <v>26.91</v>
      </c>
      <c r="D5" s="15">
        <v>1.0</v>
      </c>
      <c r="E5" s="15">
        <v>3.0</v>
      </c>
      <c r="F5" s="15">
        <f t="shared" si="1"/>
        <v>3</v>
      </c>
      <c r="G5" s="15" t="s">
        <v>80</v>
      </c>
      <c r="H5" s="15" t="s">
        <v>32</v>
      </c>
      <c r="I5" s="40" t="s">
        <v>81</v>
      </c>
      <c r="J5" s="21"/>
      <c r="K5" s="21"/>
      <c r="L5" s="21"/>
      <c r="M5" s="26">
        <f t="shared" si="2"/>
        <v>80.73</v>
      </c>
      <c r="N5" s="30">
        <f t="shared" si="3"/>
        <v>1896.01</v>
      </c>
      <c r="O5" s="21" t="b">
        <v>0</v>
      </c>
      <c r="P5" s="29"/>
      <c r="Q5" s="29" t="s">
        <v>42</v>
      </c>
      <c r="R5" s="9" t="s">
        <v>43</v>
      </c>
      <c r="S5" s="32">
        <v>45485.0</v>
      </c>
      <c r="T5" s="29"/>
      <c r="U5" s="29"/>
      <c r="V5" s="36">
        <f t="shared" si="4"/>
        <v>1896.01</v>
      </c>
    </row>
    <row r="6" ht="15.75" customHeight="1">
      <c r="A6" s="15" t="s">
        <v>91</v>
      </c>
      <c r="B6" s="15" t="s">
        <v>92</v>
      </c>
      <c r="C6" s="16">
        <v>507.24</v>
      </c>
      <c r="D6" s="15">
        <v>1.0</v>
      </c>
      <c r="E6" s="15">
        <v>2.0</v>
      </c>
      <c r="F6" s="15">
        <f t="shared" si="1"/>
        <v>2</v>
      </c>
      <c r="G6" s="15" t="s">
        <v>95</v>
      </c>
      <c r="H6" s="15" t="s">
        <v>45</v>
      </c>
      <c r="I6" s="40" t="s">
        <v>96</v>
      </c>
      <c r="J6" s="21"/>
      <c r="K6" s="21"/>
      <c r="L6" s="21"/>
      <c r="M6" s="26">
        <f t="shared" si="2"/>
        <v>1014.48</v>
      </c>
      <c r="N6" s="30">
        <f t="shared" si="3"/>
        <v>2910.49</v>
      </c>
      <c r="O6" s="21" t="b">
        <v>0</v>
      </c>
      <c r="P6" s="29"/>
      <c r="Q6" s="29" t="s">
        <v>42</v>
      </c>
      <c r="R6" s="9" t="s">
        <v>102</v>
      </c>
      <c r="S6" s="29" t="s">
        <v>103</v>
      </c>
      <c r="T6" s="29"/>
      <c r="U6" s="29"/>
      <c r="V6" s="36">
        <f t="shared" si="4"/>
        <v>2910.49</v>
      </c>
    </row>
    <row r="7" ht="15.75" customHeight="1">
      <c r="A7" s="15" t="s">
        <v>106</v>
      </c>
      <c r="B7" s="15" t="s">
        <v>107</v>
      </c>
      <c r="C7" s="16">
        <v>4.11</v>
      </c>
      <c r="D7" s="15">
        <v>1.0</v>
      </c>
      <c r="E7" s="15">
        <v>8.0</v>
      </c>
      <c r="F7" s="15">
        <f t="shared" si="1"/>
        <v>8</v>
      </c>
      <c r="G7" s="15" t="s">
        <v>108</v>
      </c>
      <c r="H7" s="15" t="s">
        <v>109</v>
      </c>
      <c r="I7" s="40" t="s">
        <v>110</v>
      </c>
      <c r="J7" s="21"/>
      <c r="K7" s="21"/>
      <c r="L7" s="21"/>
      <c r="M7" s="26">
        <f t="shared" si="2"/>
        <v>32.88</v>
      </c>
      <c r="N7" s="30">
        <f t="shared" si="3"/>
        <v>2943.37</v>
      </c>
      <c r="O7" s="21" t="b">
        <v>0</v>
      </c>
      <c r="P7" s="29"/>
      <c r="Q7" s="29" t="s">
        <v>42</v>
      </c>
      <c r="R7" s="9" t="s">
        <v>116</v>
      </c>
      <c r="S7" s="32">
        <v>45485.0</v>
      </c>
      <c r="T7" s="29"/>
      <c r="U7" s="29"/>
      <c r="V7" s="36">
        <f t="shared" si="4"/>
        <v>2943.37</v>
      </c>
    </row>
    <row r="8" ht="15.75" customHeight="1">
      <c r="A8" s="15" t="s">
        <v>117</v>
      </c>
      <c r="B8" s="15" t="s">
        <v>118</v>
      </c>
      <c r="C8" s="16">
        <v>12.86</v>
      </c>
      <c r="D8" s="15">
        <v>5.0</v>
      </c>
      <c r="E8" s="15">
        <v>1.0</v>
      </c>
      <c r="F8" s="15">
        <f t="shared" si="1"/>
        <v>1</v>
      </c>
      <c r="G8" s="46" t="s">
        <v>119</v>
      </c>
      <c r="H8" s="15" t="s">
        <v>121</v>
      </c>
      <c r="I8" s="40" t="s">
        <v>122</v>
      </c>
      <c r="J8" s="21"/>
      <c r="K8" s="21"/>
      <c r="L8" s="21"/>
      <c r="M8" s="26">
        <f t="shared" si="2"/>
        <v>12.86</v>
      </c>
      <c r="N8" s="30">
        <f t="shared" si="3"/>
        <v>2956.23</v>
      </c>
      <c r="O8" s="21" t="b">
        <v>0</v>
      </c>
      <c r="P8" s="29"/>
      <c r="Q8" s="29" t="s">
        <v>42</v>
      </c>
      <c r="R8" s="9" t="s">
        <v>125</v>
      </c>
      <c r="S8" s="32">
        <v>45485.0</v>
      </c>
      <c r="T8" s="29"/>
      <c r="U8" s="29"/>
      <c r="V8" s="36">
        <f t="shared" si="4"/>
        <v>2956.23</v>
      </c>
    </row>
    <row r="9" ht="15.75" customHeight="1">
      <c r="A9" s="15" t="s">
        <v>126</v>
      </c>
      <c r="B9" s="15" t="s">
        <v>127</v>
      </c>
      <c r="C9" s="16">
        <v>64.22</v>
      </c>
      <c r="D9" s="15">
        <v>1.0</v>
      </c>
      <c r="E9" s="15">
        <v>2.0</v>
      </c>
      <c r="F9" s="15">
        <f t="shared" si="1"/>
        <v>2</v>
      </c>
      <c r="G9" s="46" t="s">
        <v>128</v>
      </c>
      <c r="H9" s="15" t="s">
        <v>121</v>
      </c>
      <c r="I9" s="40" t="s">
        <v>129</v>
      </c>
      <c r="J9" s="21"/>
      <c r="K9" s="21"/>
      <c r="L9" s="21"/>
      <c r="M9" s="26">
        <f t="shared" si="2"/>
        <v>128.44</v>
      </c>
      <c r="N9" s="30">
        <f t="shared" si="3"/>
        <v>3084.67</v>
      </c>
      <c r="O9" s="21" t="b">
        <v>0</v>
      </c>
      <c r="P9" s="29"/>
      <c r="Q9" s="29" t="s">
        <v>42</v>
      </c>
      <c r="R9" s="9" t="s">
        <v>125</v>
      </c>
      <c r="S9" s="32">
        <v>45485.0</v>
      </c>
      <c r="T9" s="29"/>
      <c r="U9" s="29"/>
      <c r="V9" s="36">
        <f t="shared" si="4"/>
        <v>3084.67</v>
      </c>
    </row>
    <row r="10" ht="15.75" customHeight="1">
      <c r="A10" s="51" t="s">
        <v>133</v>
      </c>
      <c r="B10" s="15" t="s">
        <v>135</v>
      </c>
      <c r="C10" s="16">
        <v>8.78</v>
      </c>
      <c r="D10" s="15">
        <v>12.0</v>
      </c>
      <c r="E10" s="15">
        <v>35.0</v>
      </c>
      <c r="F10" s="15">
        <f t="shared" si="1"/>
        <v>3</v>
      </c>
      <c r="G10" s="46" t="s">
        <v>136</v>
      </c>
      <c r="H10" s="15" t="s">
        <v>121</v>
      </c>
      <c r="I10" s="40" t="s">
        <v>137</v>
      </c>
      <c r="J10" s="21"/>
      <c r="K10" s="21"/>
      <c r="L10" s="21"/>
      <c r="M10" s="26">
        <f t="shared" si="2"/>
        <v>26.34</v>
      </c>
      <c r="N10" s="30">
        <f t="shared" si="3"/>
        <v>3111.01</v>
      </c>
      <c r="O10" s="21" t="b">
        <v>0</v>
      </c>
      <c r="P10" s="29"/>
      <c r="Q10" s="29" t="s">
        <v>42</v>
      </c>
      <c r="R10" s="9" t="s">
        <v>125</v>
      </c>
      <c r="S10" s="32">
        <v>45485.0</v>
      </c>
      <c r="T10" s="29"/>
      <c r="U10" s="29"/>
      <c r="V10" s="36">
        <f t="shared" si="4"/>
        <v>3111.01</v>
      </c>
    </row>
    <row r="11" ht="15.75" customHeight="1">
      <c r="A11" s="15" t="s">
        <v>139</v>
      </c>
      <c r="B11" s="15" t="s">
        <v>140</v>
      </c>
      <c r="C11" s="16">
        <v>19.67</v>
      </c>
      <c r="D11" s="15">
        <v>50.0</v>
      </c>
      <c r="E11" s="15">
        <v>8.0</v>
      </c>
      <c r="F11" s="15">
        <f t="shared" si="1"/>
        <v>1</v>
      </c>
      <c r="G11" s="46" t="s">
        <v>141</v>
      </c>
      <c r="H11" s="15" t="s">
        <v>121</v>
      </c>
      <c r="I11" s="40" t="s">
        <v>142</v>
      </c>
      <c r="J11" s="21"/>
      <c r="K11" s="21"/>
      <c r="L11" s="21"/>
      <c r="M11" s="26">
        <f t="shared" si="2"/>
        <v>19.67</v>
      </c>
      <c r="N11" s="30">
        <f t="shared" si="3"/>
        <v>3130.68</v>
      </c>
      <c r="O11" s="21" t="b">
        <v>0</v>
      </c>
      <c r="P11" s="29"/>
      <c r="Q11" s="29" t="s">
        <v>42</v>
      </c>
      <c r="R11" s="9" t="s">
        <v>125</v>
      </c>
      <c r="S11" s="32">
        <v>45485.0</v>
      </c>
      <c r="T11" s="29"/>
      <c r="U11" s="29"/>
      <c r="V11" s="36">
        <f t="shared" si="4"/>
        <v>3130.68</v>
      </c>
    </row>
    <row r="12" ht="15.75" customHeight="1">
      <c r="A12" s="15" t="s">
        <v>146</v>
      </c>
      <c r="B12" s="15" t="s">
        <v>147</v>
      </c>
      <c r="C12" s="16">
        <v>16.66</v>
      </c>
      <c r="D12" s="15">
        <v>100.0</v>
      </c>
      <c r="E12" s="15">
        <v>4.0</v>
      </c>
      <c r="F12" s="15">
        <f t="shared" si="1"/>
        <v>1</v>
      </c>
      <c r="G12" s="46" t="s">
        <v>148</v>
      </c>
      <c r="H12" s="15" t="s">
        <v>121</v>
      </c>
      <c r="I12" s="40" t="s">
        <v>149</v>
      </c>
      <c r="J12" s="21"/>
      <c r="K12" s="21"/>
      <c r="L12" s="21"/>
      <c r="M12" s="26">
        <f t="shared" si="2"/>
        <v>16.66</v>
      </c>
      <c r="N12" s="30">
        <f t="shared" si="3"/>
        <v>3147.34</v>
      </c>
      <c r="O12" s="21" t="b">
        <v>0</v>
      </c>
      <c r="P12" s="29"/>
      <c r="Q12" s="29" t="s">
        <v>42</v>
      </c>
      <c r="R12" s="9" t="s">
        <v>125</v>
      </c>
      <c r="S12" s="32">
        <v>45485.0</v>
      </c>
      <c r="T12" s="29"/>
      <c r="U12" s="29"/>
      <c r="V12" s="36">
        <f t="shared" si="4"/>
        <v>3147.34</v>
      </c>
    </row>
    <row r="13" ht="15.75" customHeight="1">
      <c r="A13" s="15" t="s">
        <v>153</v>
      </c>
      <c r="B13" s="15" t="s">
        <v>147</v>
      </c>
      <c r="C13" s="16">
        <v>3.52</v>
      </c>
      <c r="D13" s="15">
        <v>100.0</v>
      </c>
      <c r="E13" s="15">
        <v>4.0</v>
      </c>
      <c r="F13" s="15">
        <f t="shared" si="1"/>
        <v>1</v>
      </c>
      <c r="G13" s="46" t="s">
        <v>155</v>
      </c>
      <c r="H13" s="15" t="s">
        <v>121</v>
      </c>
      <c r="I13" s="40" t="s">
        <v>156</v>
      </c>
      <c r="J13" s="21"/>
      <c r="K13" s="21"/>
      <c r="L13" s="21"/>
      <c r="M13" s="26">
        <f t="shared" si="2"/>
        <v>3.52</v>
      </c>
      <c r="N13" s="30">
        <f t="shared" si="3"/>
        <v>3150.86</v>
      </c>
      <c r="O13" s="21" t="b">
        <v>0</v>
      </c>
      <c r="P13" s="29"/>
      <c r="Q13" s="29" t="s">
        <v>42</v>
      </c>
      <c r="R13" s="9" t="s">
        <v>125</v>
      </c>
      <c r="S13" s="32">
        <v>45485.0</v>
      </c>
      <c r="T13" s="29"/>
      <c r="U13" s="29"/>
      <c r="V13" s="36">
        <f t="shared" si="4"/>
        <v>3150.86</v>
      </c>
    </row>
    <row r="14" ht="15.75" customHeight="1">
      <c r="A14" s="51" t="s">
        <v>158</v>
      </c>
      <c r="B14" s="51" t="s">
        <v>159</v>
      </c>
      <c r="C14" s="16">
        <v>5.36</v>
      </c>
      <c r="D14" s="15">
        <v>100.0</v>
      </c>
      <c r="E14" s="15">
        <v>324.0</v>
      </c>
      <c r="F14" s="15">
        <f t="shared" si="1"/>
        <v>4</v>
      </c>
      <c r="G14" s="46" t="s">
        <v>160</v>
      </c>
      <c r="H14" s="15" t="s">
        <v>121</v>
      </c>
      <c r="I14" s="40" t="s">
        <v>161</v>
      </c>
      <c r="J14" s="21"/>
      <c r="K14" s="21"/>
      <c r="L14" s="21"/>
      <c r="M14" s="26">
        <f t="shared" si="2"/>
        <v>21.44</v>
      </c>
      <c r="N14" s="30">
        <f t="shared" si="3"/>
        <v>3172.3</v>
      </c>
      <c r="O14" s="21" t="b">
        <v>0</v>
      </c>
      <c r="P14" s="29"/>
      <c r="Q14" s="29" t="s">
        <v>42</v>
      </c>
      <c r="R14" s="9" t="s">
        <v>125</v>
      </c>
      <c r="S14" s="32">
        <v>45485.0</v>
      </c>
      <c r="T14" s="29"/>
      <c r="U14" s="29"/>
      <c r="V14" s="36">
        <f t="shared" si="4"/>
        <v>3172.3</v>
      </c>
    </row>
    <row r="15" ht="15.75" customHeight="1">
      <c r="A15" s="15" t="s">
        <v>167</v>
      </c>
      <c r="B15" s="15" t="s">
        <v>168</v>
      </c>
      <c r="C15" s="57">
        <v>6.26</v>
      </c>
      <c r="D15" s="15">
        <v>100.0</v>
      </c>
      <c r="E15" s="15">
        <v>8.0</v>
      </c>
      <c r="F15" s="15">
        <f t="shared" si="1"/>
        <v>1</v>
      </c>
      <c r="G15" s="46" t="s">
        <v>170</v>
      </c>
      <c r="H15" s="15" t="s">
        <v>121</v>
      </c>
      <c r="I15" s="58" t="s">
        <v>172</v>
      </c>
      <c r="J15" s="21"/>
      <c r="K15" s="21"/>
      <c r="L15" s="21"/>
      <c r="M15" s="26">
        <f t="shared" si="2"/>
        <v>6.26</v>
      </c>
      <c r="N15" s="30">
        <f t="shared" si="3"/>
        <v>3178.56</v>
      </c>
      <c r="O15" s="21" t="b">
        <v>0</v>
      </c>
      <c r="P15" s="29"/>
      <c r="Q15" s="29" t="s">
        <v>42</v>
      </c>
      <c r="R15" s="9" t="s">
        <v>125</v>
      </c>
      <c r="S15" s="32">
        <v>45485.0</v>
      </c>
      <c r="T15" s="29"/>
      <c r="U15" s="29"/>
      <c r="V15" s="36">
        <f t="shared" si="4"/>
        <v>3178.56</v>
      </c>
    </row>
    <row r="16" ht="15.75" customHeight="1">
      <c r="A16" s="15" t="s">
        <v>181</v>
      </c>
      <c r="B16" s="15" t="s">
        <v>182</v>
      </c>
      <c r="C16" s="16">
        <v>7.48</v>
      </c>
      <c r="D16" s="15">
        <v>12.0</v>
      </c>
      <c r="E16" s="15">
        <v>80.0</v>
      </c>
      <c r="F16" s="15">
        <f t="shared" si="1"/>
        <v>7</v>
      </c>
      <c r="G16" s="46" t="s">
        <v>183</v>
      </c>
      <c r="H16" s="15" t="s">
        <v>121</v>
      </c>
      <c r="I16" s="40" t="s">
        <v>184</v>
      </c>
      <c r="J16" s="21"/>
      <c r="K16" s="21"/>
      <c r="L16" s="21"/>
      <c r="M16" s="26">
        <f t="shared" si="2"/>
        <v>52.36</v>
      </c>
      <c r="N16" s="30">
        <f t="shared" si="3"/>
        <v>3230.92</v>
      </c>
      <c r="O16" s="21" t="b">
        <v>0</v>
      </c>
      <c r="P16" s="29"/>
      <c r="Q16" s="29" t="s">
        <v>42</v>
      </c>
      <c r="R16" s="9" t="s">
        <v>125</v>
      </c>
      <c r="S16" s="32">
        <v>45485.0</v>
      </c>
      <c r="T16" s="29"/>
      <c r="U16" s="29"/>
      <c r="V16" s="36">
        <f t="shared" si="4"/>
        <v>3230.92</v>
      </c>
    </row>
    <row r="17" ht="15.75" customHeight="1">
      <c r="A17" s="15" t="s">
        <v>187</v>
      </c>
      <c r="B17" s="15" t="s">
        <v>189</v>
      </c>
      <c r="C17" s="16">
        <v>9.35</v>
      </c>
      <c r="D17" s="15">
        <v>5.0</v>
      </c>
      <c r="E17" s="15">
        <v>3.0</v>
      </c>
      <c r="F17" s="15">
        <f t="shared" si="1"/>
        <v>1</v>
      </c>
      <c r="G17" s="62" t="s">
        <v>192</v>
      </c>
      <c r="H17" s="15" t="s">
        <v>121</v>
      </c>
      <c r="I17" s="40" t="s">
        <v>193</v>
      </c>
      <c r="J17" s="21"/>
      <c r="K17" s="21"/>
      <c r="L17" s="21"/>
      <c r="M17" s="26">
        <f t="shared" si="2"/>
        <v>9.35</v>
      </c>
      <c r="N17" s="30">
        <f t="shared" si="3"/>
        <v>3240.27</v>
      </c>
      <c r="O17" s="21"/>
      <c r="P17" s="29"/>
      <c r="Q17" s="29" t="s">
        <v>42</v>
      </c>
      <c r="R17" s="9" t="s">
        <v>125</v>
      </c>
      <c r="S17" s="32">
        <v>45485.0</v>
      </c>
      <c r="T17" s="29"/>
      <c r="U17" s="29"/>
      <c r="V17" s="36">
        <f t="shared" si="4"/>
        <v>3240.27</v>
      </c>
    </row>
    <row r="18" ht="15.75" customHeight="1">
      <c r="A18" s="15" t="s">
        <v>139</v>
      </c>
      <c r="B18" s="15" t="s">
        <v>195</v>
      </c>
      <c r="C18" s="16">
        <v>9.86</v>
      </c>
      <c r="D18" s="15">
        <v>100.0</v>
      </c>
      <c r="E18" s="15">
        <v>12.0</v>
      </c>
      <c r="F18" s="15">
        <f t="shared" si="1"/>
        <v>1</v>
      </c>
      <c r="G18" s="66" t="s">
        <v>198</v>
      </c>
      <c r="H18" s="15" t="s">
        <v>121</v>
      </c>
      <c r="I18" s="40" t="s">
        <v>199</v>
      </c>
      <c r="J18" s="15"/>
      <c r="K18" s="15"/>
      <c r="L18" s="15"/>
      <c r="M18" s="26">
        <f t="shared" si="2"/>
        <v>9.86</v>
      </c>
      <c r="N18" s="30">
        <f t="shared" si="3"/>
        <v>3250.13</v>
      </c>
      <c r="O18" s="21"/>
      <c r="P18" s="29"/>
      <c r="Q18" s="29" t="s">
        <v>42</v>
      </c>
      <c r="R18" s="9" t="s">
        <v>125</v>
      </c>
      <c r="S18" s="32">
        <v>45485.0</v>
      </c>
      <c r="T18" s="29"/>
      <c r="U18" s="29"/>
      <c r="V18" s="36">
        <f t="shared" si="4"/>
        <v>3250.13</v>
      </c>
    </row>
    <row r="19" ht="15.75" customHeight="1">
      <c r="A19" s="15" t="s">
        <v>201</v>
      </c>
      <c r="B19" s="15" t="s">
        <v>202</v>
      </c>
      <c r="C19" s="16">
        <v>8.83</v>
      </c>
      <c r="D19" s="15">
        <v>100.0</v>
      </c>
      <c r="E19" s="15">
        <v>24.0</v>
      </c>
      <c r="F19" s="15">
        <f t="shared" si="1"/>
        <v>1</v>
      </c>
      <c r="G19" s="71" t="s">
        <v>203</v>
      </c>
      <c r="H19" s="15" t="s">
        <v>121</v>
      </c>
      <c r="I19" s="40" t="s">
        <v>205</v>
      </c>
      <c r="J19" s="21"/>
      <c r="K19" s="21"/>
      <c r="L19" s="21"/>
      <c r="M19" s="26">
        <f t="shared" si="2"/>
        <v>8.83</v>
      </c>
      <c r="N19" s="30">
        <f t="shared" si="3"/>
        <v>3258.96</v>
      </c>
      <c r="O19" s="21"/>
      <c r="P19" s="29"/>
      <c r="Q19" s="29" t="s">
        <v>42</v>
      </c>
      <c r="R19" s="9" t="s">
        <v>125</v>
      </c>
      <c r="S19" s="32">
        <v>45485.0</v>
      </c>
      <c r="T19" s="29"/>
      <c r="U19" s="29"/>
      <c r="V19" s="36">
        <f t="shared" si="4"/>
        <v>3258.96</v>
      </c>
    </row>
    <row r="20" ht="15.75" customHeight="1">
      <c r="A20" s="15" t="s">
        <v>209</v>
      </c>
      <c r="B20" s="15" t="s">
        <v>210</v>
      </c>
      <c r="C20" s="72">
        <v>6.61</v>
      </c>
      <c r="D20" s="15">
        <v>1.0</v>
      </c>
      <c r="E20" s="15">
        <v>8.0</v>
      </c>
      <c r="F20" s="15">
        <f t="shared" si="1"/>
        <v>8</v>
      </c>
      <c r="G20" s="73" t="s">
        <v>211</v>
      </c>
      <c r="H20" s="21" t="s">
        <v>121</v>
      </c>
      <c r="I20" s="74" t="s">
        <v>212</v>
      </c>
      <c r="J20" s="21"/>
      <c r="K20" s="21"/>
      <c r="L20" s="21"/>
      <c r="M20" s="26">
        <f t="shared" si="2"/>
        <v>52.88</v>
      </c>
      <c r="N20" s="30">
        <f t="shared" si="3"/>
        <v>3311.84</v>
      </c>
      <c r="O20" s="21"/>
      <c r="P20" s="29"/>
      <c r="Q20" s="29" t="s">
        <v>42</v>
      </c>
      <c r="R20" s="9" t="s">
        <v>125</v>
      </c>
      <c r="S20" s="32">
        <v>45485.0</v>
      </c>
      <c r="T20" s="29"/>
      <c r="U20" s="29"/>
      <c r="V20" s="36">
        <f t="shared" si="4"/>
        <v>3311.84</v>
      </c>
    </row>
    <row r="21" ht="15.75" customHeight="1">
      <c r="A21" s="15" t="s">
        <v>215</v>
      </c>
      <c r="B21" s="15" t="s">
        <v>216</v>
      </c>
      <c r="C21" s="16">
        <v>13.1</v>
      </c>
      <c r="D21" s="15">
        <v>100.0</v>
      </c>
      <c r="E21" s="15">
        <v>8.0</v>
      </c>
      <c r="F21" s="15">
        <f t="shared" si="1"/>
        <v>1</v>
      </c>
      <c r="G21" s="66" t="s">
        <v>217</v>
      </c>
      <c r="H21" s="21" t="s">
        <v>121</v>
      </c>
      <c r="I21" s="40" t="s">
        <v>218</v>
      </c>
      <c r="J21" s="21"/>
      <c r="K21" s="21"/>
      <c r="L21" s="21"/>
      <c r="M21" s="26">
        <f t="shared" si="2"/>
        <v>13.1</v>
      </c>
      <c r="N21" s="30">
        <f t="shared" si="3"/>
        <v>3324.94</v>
      </c>
      <c r="O21" s="21"/>
      <c r="Q21" s="29" t="s">
        <v>42</v>
      </c>
      <c r="R21" s="9" t="s">
        <v>125</v>
      </c>
      <c r="S21" s="32">
        <v>45485.0</v>
      </c>
      <c r="V21" s="36">
        <f t="shared" si="4"/>
        <v>3324.94</v>
      </c>
    </row>
    <row r="22" ht="15.75" customHeight="1">
      <c r="A22" s="15" t="s">
        <v>221</v>
      </c>
      <c r="B22" s="15" t="s">
        <v>222</v>
      </c>
      <c r="C22" s="16">
        <v>7.36</v>
      </c>
      <c r="D22" s="15">
        <v>1.0</v>
      </c>
      <c r="E22" s="15">
        <v>4.0</v>
      </c>
      <c r="F22" s="15">
        <f t="shared" si="1"/>
        <v>4</v>
      </c>
      <c r="G22" s="66" t="s">
        <v>211</v>
      </c>
      <c r="H22" s="21" t="s">
        <v>121</v>
      </c>
      <c r="I22" s="40" t="s">
        <v>212</v>
      </c>
      <c r="J22" s="21"/>
      <c r="K22" s="21"/>
      <c r="L22" s="21"/>
      <c r="M22" s="26">
        <f t="shared" si="2"/>
        <v>29.44</v>
      </c>
      <c r="N22" s="30">
        <f t="shared" si="3"/>
        <v>3354.38</v>
      </c>
      <c r="O22" s="21"/>
      <c r="Q22" s="29" t="s">
        <v>42</v>
      </c>
      <c r="R22" s="9" t="s">
        <v>125</v>
      </c>
      <c r="S22" s="32">
        <v>45485.0</v>
      </c>
      <c r="V22" s="36">
        <f t="shared" si="4"/>
        <v>3354.38</v>
      </c>
    </row>
    <row r="23" ht="15.75" customHeight="1">
      <c r="A23" s="15"/>
      <c r="B23" s="15"/>
      <c r="C23" s="16"/>
      <c r="D23" s="15"/>
      <c r="E23" s="15"/>
      <c r="F23" s="15" t="str">
        <f t="shared" si="1"/>
        <v>#DIV/0!</v>
      </c>
      <c r="G23" s="82"/>
      <c r="H23" s="15"/>
      <c r="I23" s="21"/>
      <c r="J23" s="21"/>
      <c r="K23" s="21"/>
      <c r="L23" s="21"/>
      <c r="M23" s="21" t="str">
        <f t="shared" si="2"/>
        <v>#DIV/0!</v>
      </c>
      <c r="N23" s="83" t="str">
        <f t="shared" si="3"/>
        <v>#DIV/0!</v>
      </c>
      <c r="O23" s="21"/>
      <c r="Q23" s="31"/>
    </row>
    <row r="24" ht="15.75" customHeight="1">
      <c r="A24" s="15"/>
      <c r="B24" s="15"/>
      <c r="C24" s="16"/>
      <c r="D24" s="15"/>
      <c r="E24" s="15"/>
      <c r="F24" s="15">
        <f>CEILING(E24/$D$20,1)</f>
        <v>0</v>
      </c>
      <c r="G24" s="85"/>
      <c r="H24" s="15"/>
      <c r="I24" s="87"/>
      <c r="J24" s="88"/>
      <c r="K24" s="21"/>
      <c r="L24" s="21"/>
      <c r="M24" s="26">
        <f t="shared" si="2"/>
        <v>0</v>
      </c>
      <c r="N24" s="83" t="str">
        <f t="shared" si="3"/>
        <v>#DIV/0!</v>
      </c>
      <c r="O24" s="21"/>
      <c r="P24" s="29"/>
      <c r="Q24" s="31"/>
    </row>
    <row r="25" ht="15.75" customHeight="1">
      <c r="A25" s="29"/>
      <c r="B25" s="89"/>
      <c r="C25" s="36"/>
      <c r="D25" s="29"/>
      <c r="E25" s="29"/>
      <c r="G25" s="90"/>
      <c r="H25" s="29"/>
      <c r="I25" s="29"/>
      <c r="N25" s="90"/>
      <c r="Q25" s="31"/>
    </row>
    <row r="26" ht="15.75" customHeight="1">
      <c r="A26" s="29"/>
      <c r="B26" s="29"/>
      <c r="C26" s="33"/>
      <c r="D26" s="29"/>
      <c r="E26" s="29"/>
      <c r="F26" s="29"/>
      <c r="G26" s="71"/>
      <c r="H26" s="29"/>
      <c r="I26" s="29"/>
      <c r="N26" s="90"/>
      <c r="Q26" s="31"/>
    </row>
    <row r="27" ht="15.75" customHeight="1">
      <c r="A27" s="29"/>
      <c r="B27" s="29"/>
      <c r="C27" s="36"/>
      <c r="D27" s="29"/>
      <c r="E27" s="29"/>
      <c r="G27" s="90"/>
      <c r="H27" s="29"/>
      <c r="I27" s="29"/>
      <c r="N27" s="90"/>
      <c r="Q27" s="31"/>
    </row>
    <row r="28" ht="15.75" customHeight="1">
      <c r="A28" s="29"/>
      <c r="B28" s="29"/>
      <c r="C28" s="36"/>
      <c r="D28" s="29"/>
      <c r="E28" s="29"/>
      <c r="G28" s="90"/>
      <c r="H28" s="29"/>
      <c r="I28" s="29"/>
      <c r="N28" s="90"/>
      <c r="Q28" s="31"/>
    </row>
    <row r="29" ht="15.75" customHeight="1">
      <c r="A29" s="29"/>
      <c r="B29" s="29"/>
      <c r="C29" s="36"/>
      <c r="D29" s="29"/>
      <c r="E29" s="29"/>
      <c r="G29" s="90"/>
      <c r="H29" s="29"/>
      <c r="I29" s="29"/>
      <c r="N29" s="90"/>
      <c r="Q29" s="31"/>
    </row>
    <row r="30" ht="15.75" customHeight="1">
      <c r="A30" s="29"/>
      <c r="B30" s="29"/>
      <c r="C30" s="36"/>
      <c r="D30" s="29"/>
      <c r="E30" s="29"/>
      <c r="G30" s="90"/>
      <c r="H30" s="29"/>
      <c r="I30" s="29"/>
      <c r="N30" s="90"/>
      <c r="Q30" s="31"/>
    </row>
    <row r="31" ht="15.75" customHeight="1">
      <c r="A31" s="29"/>
      <c r="B31" s="29"/>
      <c r="C31" s="36"/>
      <c r="D31" s="29"/>
      <c r="E31" s="29"/>
      <c r="G31" s="90"/>
      <c r="H31" s="29"/>
      <c r="I31" s="29"/>
      <c r="N31" s="90"/>
      <c r="Q31" s="31"/>
    </row>
    <row r="32" ht="15.75" customHeight="1">
      <c r="A32" s="29"/>
      <c r="B32" s="29"/>
      <c r="C32" s="36"/>
      <c r="D32" s="29"/>
      <c r="E32" s="29"/>
      <c r="F32" s="29"/>
      <c r="H32" s="29"/>
      <c r="I32" s="29"/>
      <c r="N32" s="90"/>
      <c r="Q32" s="31"/>
      <c r="Z32" s="93"/>
    </row>
    <row r="33" ht="15.75" customHeight="1">
      <c r="A33" s="29"/>
      <c r="B33" s="29"/>
      <c r="C33" s="36"/>
      <c r="D33" s="29"/>
      <c r="E33" s="29"/>
      <c r="F33" s="29"/>
      <c r="H33" s="29"/>
      <c r="I33" s="29"/>
      <c r="N33" s="90"/>
      <c r="Q33" s="31"/>
      <c r="Z33" s="94"/>
    </row>
    <row r="34" ht="15.75" customHeight="1">
      <c r="A34" s="29"/>
      <c r="B34" s="29"/>
      <c r="C34" s="36"/>
      <c r="D34" s="29"/>
      <c r="E34" s="29"/>
      <c r="F34" s="29"/>
      <c r="H34" s="29"/>
      <c r="I34" s="29"/>
      <c r="N34" s="90"/>
      <c r="Q34" s="31"/>
    </row>
    <row r="35" ht="15.75" customHeight="1">
      <c r="I35" s="29"/>
      <c r="Q35" s="31"/>
    </row>
    <row r="36" ht="15.75" customHeight="1">
      <c r="G36" s="97"/>
      <c r="I36" s="29"/>
      <c r="L36" s="98" t="s">
        <v>234</v>
      </c>
      <c r="M36" s="98" t="str">
        <f>SUM(M2:M34)</f>
        <v>#DIV/0!</v>
      </c>
      <c r="Q36" s="31"/>
      <c r="Z36" s="33"/>
    </row>
    <row r="37" ht="15.75" customHeight="1">
      <c r="G37" s="97"/>
      <c r="I37" s="29"/>
      <c r="Q37" s="31"/>
    </row>
    <row r="38" ht="15.75" customHeight="1">
      <c r="G38" s="97"/>
      <c r="I38" s="29"/>
      <c r="Q38" s="31"/>
    </row>
    <row r="39" ht="15.75" customHeight="1">
      <c r="G39" s="97"/>
      <c r="I39" s="29"/>
      <c r="Q39" s="31"/>
    </row>
    <row r="40" ht="15.75" customHeight="1">
      <c r="G40" s="97"/>
      <c r="I40" s="29"/>
      <c r="Q40" s="31"/>
    </row>
    <row r="41" ht="15.75" customHeight="1">
      <c r="G41" s="97"/>
      <c r="I41" s="29"/>
      <c r="Q41" s="31"/>
    </row>
    <row r="42" ht="15.75" customHeight="1">
      <c r="G42" s="97"/>
      <c r="I42" s="29"/>
      <c r="Q42" s="31"/>
    </row>
    <row r="43" ht="15.75" customHeight="1">
      <c r="G43" s="97"/>
      <c r="I43" s="29"/>
      <c r="Q43" s="31"/>
    </row>
    <row r="44" ht="15.75" customHeight="1">
      <c r="G44" s="97"/>
      <c r="I44" s="29"/>
      <c r="Q44" s="31"/>
    </row>
    <row r="45" ht="15.75" customHeight="1">
      <c r="G45" s="97"/>
      <c r="I45" s="29"/>
      <c r="Q45" s="31"/>
    </row>
    <row r="46" ht="15.75" customHeight="1">
      <c r="G46" s="97"/>
      <c r="I46" s="29"/>
      <c r="Q46" s="31"/>
    </row>
    <row r="47" ht="15.75" customHeight="1">
      <c r="G47" s="97"/>
      <c r="I47" s="29"/>
      <c r="Q47" s="31"/>
    </row>
    <row r="48" ht="15.75" customHeight="1">
      <c r="G48" s="97"/>
      <c r="I48" s="29"/>
      <c r="Q48" s="31"/>
    </row>
    <row r="49" ht="15.75" customHeight="1">
      <c r="G49" s="97"/>
      <c r="I49" s="29"/>
      <c r="Q49" s="31"/>
    </row>
    <row r="50" ht="15.75" customHeight="1">
      <c r="G50" s="97"/>
      <c r="I50" s="29"/>
      <c r="Q50" s="31"/>
    </row>
    <row r="51" ht="15.75" customHeight="1">
      <c r="C51" s="36"/>
      <c r="I51" s="29"/>
      <c r="N51" s="101"/>
      <c r="Q51" s="31"/>
    </row>
    <row r="52" ht="15.75" customHeight="1">
      <c r="C52" s="33"/>
      <c r="I52" s="29"/>
      <c r="N52" s="101"/>
      <c r="Q52" s="31"/>
    </row>
    <row r="53" ht="15.75" customHeight="1">
      <c r="G53" s="97"/>
      <c r="I53" s="29"/>
      <c r="Q53" s="31"/>
    </row>
    <row r="54" ht="15.75" customHeight="1">
      <c r="G54" s="97"/>
      <c r="I54" s="29"/>
      <c r="Q54" s="31"/>
    </row>
    <row r="55" ht="15.75" customHeight="1">
      <c r="G55" s="97"/>
      <c r="I55" s="29"/>
      <c r="Q55" s="31"/>
    </row>
    <row r="56" ht="15.75" customHeight="1">
      <c r="G56" s="97"/>
      <c r="I56" s="29"/>
      <c r="Q56" s="31"/>
    </row>
    <row r="57" ht="15.75" customHeight="1">
      <c r="G57" s="97"/>
      <c r="I57" s="29"/>
      <c r="Q57" s="31"/>
    </row>
    <row r="58" ht="15.75" customHeight="1">
      <c r="G58" s="97"/>
      <c r="I58" s="29"/>
      <c r="Q58" s="31"/>
    </row>
    <row r="59" ht="15.75" customHeight="1">
      <c r="G59" s="97"/>
      <c r="I59" s="29"/>
      <c r="Q59" s="31"/>
    </row>
    <row r="60" ht="15.75" customHeight="1">
      <c r="I60" s="29"/>
      <c r="Q60" s="31"/>
    </row>
    <row r="61" ht="15.75" customHeight="1">
      <c r="I61" s="29"/>
      <c r="Q61" s="31"/>
    </row>
    <row r="62" ht="15.75" customHeight="1">
      <c r="I62" s="29"/>
      <c r="Q62" s="31"/>
    </row>
    <row r="63" ht="15.75" customHeight="1">
      <c r="I63" s="29"/>
      <c r="Q63" s="31"/>
    </row>
    <row r="64" ht="15.75" customHeight="1">
      <c r="I64" s="29"/>
      <c r="Q64" s="31"/>
    </row>
    <row r="65" ht="15.75" customHeight="1">
      <c r="I65" s="29"/>
      <c r="Q65" s="31"/>
    </row>
    <row r="66" ht="15.75" customHeight="1">
      <c r="I66" s="29"/>
      <c r="Q66" s="31"/>
    </row>
    <row r="67" ht="15.75" customHeight="1">
      <c r="I67" s="29"/>
      <c r="Q67" s="31"/>
    </row>
    <row r="68" ht="15.75" customHeight="1">
      <c r="I68" s="29"/>
      <c r="Q68" s="31"/>
    </row>
    <row r="69" ht="15.75" customHeight="1">
      <c r="I69" s="29"/>
      <c r="Q69" s="31"/>
    </row>
    <row r="70" ht="15.75" customHeight="1">
      <c r="I70" s="29"/>
      <c r="Q70" s="31"/>
    </row>
    <row r="71" ht="15.75" customHeight="1">
      <c r="I71" s="29"/>
      <c r="Q71" s="31"/>
    </row>
    <row r="72" ht="15.75" customHeight="1">
      <c r="I72" s="29"/>
      <c r="Q72" s="31"/>
    </row>
    <row r="73" ht="15.75" customHeight="1">
      <c r="I73" s="29"/>
      <c r="Q73" s="31"/>
    </row>
    <row r="74" ht="15.75" customHeight="1">
      <c r="I74" s="29"/>
      <c r="Q74" s="31"/>
    </row>
    <row r="75" ht="15.75" customHeight="1">
      <c r="I75" s="29"/>
      <c r="Q75" s="31"/>
    </row>
    <row r="76" ht="15.75" customHeight="1">
      <c r="I76" s="29"/>
      <c r="Q76" s="31"/>
    </row>
    <row r="77" ht="15.75" customHeight="1">
      <c r="I77" s="29"/>
      <c r="Q77" s="31"/>
    </row>
    <row r="78" ht="15.75" customHeight="1">
      <c r="I78" s="29"/>
      <c r="Q78" s="31"/>
    </row>
    <row r="79" ht="15.75" customHeight="1">
      <c r="I79" s="29"/>
      <c r="Q79" s="31"/>
    </row>
    <row r="80" ht="15.75" customHeight="1">
      <c r="I80" s="29"/>
      <c r="Q80" s="31"/>
    </row>
    <row r="81" ht="15.75" customHeight="1">
      <c r="I81" s="29"/>
      <c r="Q81" s="31"/>
    </row>
    <row r="82" ht="15.75" customHeight="1">
      <c r="I82" s="29"/>
      <c r="Q82" s="31"/>
    </row>
    <row r="83" ht="15.75" customHeight="1">
      <c r="I83" s="29"/>
      <c r="Q83" s="31"/>
    </row>
    <row r="84" ht="15.75" customHeight="1">
      <c r="I84" s="29"/>
      <c r="Q84" s="31"/>
    </row>
    <row r="85" ht="15.75" customHeight="1">
      <c r="I85" s="29"/>
      <c r="Q85" s="31"/>
    </row>
    <row r="86" ht="15.75" customHeight="1">
      <c r="I86" s="29"/>
      <c r="Q86" s="31"/>
    </row>
    <row r="87" ht="15.75" customHeight="1">
      <c r="I87" s="29"/>
      <c r="Q87" s="31"/>
    </row>
    <row r="88" ht="15.75" customHeight="1">
      <c r="I88" s="29"/>
      <c r="Q88" s="31"/>
    </row>
    <row r="89" ht="15.75" customHeight="1">
      <c r="I89" s="29"/>
      <c r="Q89" s="31"/>
    </row>
    <row r="90" ht="15.75" customHeight="1">
      <c r="I90" s="29"/>
      <c r="Q90" s="31"/>
    </row>
    <row r="91" ht="15.75" customHeight="1">
      <c r="I91" s="29"/>
      <c r="Q91" s="31"/>
    </row>
    <row r="92" ht="15.75" customHeight="1">
      <c r="I92" s="29"/>
      <c r="Q92" s="31"/>
    </row>
    <row r="93" ht="15.75" customHeight="1">
      <c r="I93" s="29"/>
      <c r="Q93" s="31"/>
    </row>
    <row r="94" ht="15.75" customHeight="1">
      <c r="I94" s="29"/>
      <c r="Q94" s="31"/>
    </row>
    <row r="95" ht="15.75" customHeight="1">
      <c r="I95" s="29"/>
      <c r="Q95" s="31"/>
    </row>
    <row r="96" ht="15.75" customHeight="1">
      <c r="I96" s="29"/>
      <c r="Q96" s="31"/>
    </row>
    <row r="97" ht="15.75" customHeight="1">
      <c r="I97" s="29"/>
      <c r="Q97" s="31"/>
    </row>
    <row r="98" ht="15.75" customHeight="1">
      <c r="I98" s="29"/>
      <c r="Q98" s="31"/>
    </row>
    <row r="99" ht="15.75" customHeight="1">
      <c r="I99" s="29"/>
      <c r="Q99" s="31"/>
    </row>
    <row r="100" ht="15.75" customHeight="1">
      <c r="I100" s="29"/>
      <c r="Q100" s="31"/>
    </row>
    <row r="101" ht="15.75" customHeight="1">
      <c r="I101" s="29"/>
      <c r="Q101" s="31"/>
    </row>
    <row r="102" ht="15.75" customHeight="1">
      <c r="I102" s="29"/>
      <c r="Q102" s="31"/>
    </row>
    <row r="103" ht="15.75" customHeight="1">
      <c r="I103" s="29"/>
      <c r="Q103" s="31"/>
    </row>
    <row r="104" ht="15.75" customHeight="1">
      <c r="I104" s="29"/>
      <c r="Q104" s="31"/>
    </row>
    <row r="105" ht="15.75" customHeight="1">
      <c r="I105" s="29"/>
      <c r="Q105" s="31"/>
    </row>
    <row r="106" ht="15.75" customHeight="1">
      <c r="I106" s="29"/>
      <c r="Q106" s="31"/>
    </row>
    <row r="107" ht="15.75" customHeight="1">
      <c r="I107" s="29"/>
      <c r="Q107" s="31"/>
    </row>
    <row r="108" ht="15.75" customHeight="1">
      <c r="I108" s="29"/>
      <c r="Q108" s="31"/>
    </row>
    <row r="109" ht="15.75" customHeight="1">
      <c r="I109" s="29"/>
      <c r="Q109" s="31"/>
    </row>
    <row r="110" ht="15.75" customHeight="1">
      <c r="I110" s="29"/>
      <c r="Q110" s="31"/>
    </row>
    <row r="111" ht="15.75" customHeight="1">
      <c r="I111" s="29"/>
      <c r="Q111" s="31"/>
    </row>
    <row r="112" ht="15.75" customHeight="1">
      <c r="I112" s="29"/>
      <c r="Q112" s="31"/>
    </row>
    <row r="113" ht="15.75" customHeight="1">
      <c r="I113" s="29"/>
      <c r="Q113" s="31"/>
    </row>
    <row r="114" ht="15.75" customHeight="1">
      <c r="I114" s="29"/>
      <c r="Q114" s="31"/>
    </row>
    <row r="115" ht="15.75" customHeight="1">
      <c r="I115" s="29"/>
      <c r="Q115" s="31"/>
    </row>
    <row r="116" ht="15.75" customHeight="1">
      <c r="I116" s="29"/>
      <c r="Q116" s="31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1200D565-E6F9-4E5F-A36D-DED640934FAB}" filter="1" showAutoFilter="1">
      <autoFilter ref="$H$1:$H$110"/>
      <extLst>
        <ext uri="GoogleSheetsCustomDataVersion1">
          <go:sheetsCustomData xmlns:go="http://customooxmlschemas.google.com/" filterViewId="34164839"/>
        </ext>
      </extLst>
    </customSheetView>
    <customSheetView guid="{26603AB2-D449-4378-9216-FA198B0DAC95}" filter="1" showAutoFilter="1">
      <autoFilter ref="$O$1:$O$110"/>
      <extLst>
        <ext uri="GoogleSheetsCustomDataVersion1">
          <go:sheetsCustomData xmlns:go="http://customooxmlschemas.google.com/" filterViewId="66722501"/>
        </ext>
      </extLst>
    </customSheetView>
  </customSheetView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